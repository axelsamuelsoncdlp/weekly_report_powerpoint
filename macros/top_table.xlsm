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29400" windowHeight="16660" tabRatio="600" firstSheet="0" activeTab="7" autoFilterDateGrouping="1"/>
  </bookViews>
  <sheets>
    <sheet xmlns:r="http://schemas.openxmlformats.org/officeDocument/2006/relationships" name="top_table" sheetId="1" state="visible" r:id="rId1"/>
    <sheet xmlns:r="http://schemas.openxmlformats.org/officeDocument/2006/relationships" name="top_markets" sheetId="2" state="visible" r:id="rId2"/>
    <sheet xmlns:r="http://schemas.openxmlformats.org/officeDocument/2006/relationships" name="online_kpis" sheetId="3" state="visible" r:id="rId3"/>
    <sheet xmlns:r="http://schemas.openxmlformats.org/officeDocument/2006/relationships" name="contribution" sheetId="4" state="visible" r:id="rId4"/>
    <sheet xmlns:r="http://schemas.openxmlformats.org/officeDocument/2006/relationships" name="gender" sheetId="5" state="visible" r:id="rId5"/>
    <sheet xmlns:r="http://schemas.openxmlformats.org/officeDocument/2006/relationships" name="men_category" sheetId="6" state="visible" r:id="rId6"/>
    <sheet xmlns:r="http://schemas.openxmlformats.org/officeDocument/2006/relationships" name="women_category" sheetId="7" state="visible" r:id="rId7"/>
    <sheet xmlns:r="http://schemas.openxmlformats.org/officeDocument/2006/relationships" name="gender_category" sheetId="8" state="visible" r:id="rId8"/>
    <sheet xmlns:r="http://schemas.openxmlformats.org/officeDocument/2006/relationships" name="products_new" sheetId="9" state="visible" r:id="rId9"/>
    <sheet xmlns:r="http://schemas.openxmlformats.org/officeDocument/2006/relationships" name="products_returning" sheetId="10" state="visible" r:id="rId10"/>
    <sheet xmlns:r="http://schemas.openxmlformats.org/officeDocument/2006/relationships" name="products_men" sheetId="11" state="visible" r:id="rId11"/>
    <sheet xmlns:r="http://schemas.openxmlformats.org/officeDocument/2006/relationships" name="products_women" sheetId="12" state="visible" r:id="rId12"/>
  </sheets>
  <definedNames/>
  <calcPr calcId="0" fullCalcOnLoad="1" iterateCount="50"/>
</workbook>
</file>

<file path=xl/styles.xml><?xml version="1.0" encoding="utf-8"?>
<styleSheet xmlns="http://schemas.openxmlformats.org/spreadsheetml/2006/main">
  <numFmts count="10">
    <numFmt numFmtId="164" formatCode="#;#;_)@"/>
    <numFmt numFmtId="165" formatCode=";;;_)@"/>
    <numFmt numFmtId="166" formatCode="#,###;#;#;_)@"/>
    <numFmt numFmtId="167" formatCode="#,###,_);\(#,###,\)_);\-_)"/>
    <numFmt numFmtId="168" formatCode="0.0%_);\(0.0%\)_);\-_)"/>
    <numFmt numFmtId="169" formatCode="0.0%_);\(0.0%\)_);\-_);@_)"/>
    <numFmt numFmtId="170" formatCode="0.000"/>
    <numFmt numFmtId="171" formatCode="_-* #,##0.00_-;\-* #,##0.00_-;_-* &quot;-&quot;??_-;_-@_-"/>
    <numFmt numFmtId="172" formatCode="0.0%"/>
    <numFmt numFmtId="173" formatCode="#,##0.0"/>
  </numFmts>
  <fonts count="30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Franklin Gothic Book"/>
      <family val="2"/>
      <color theme="1"/>
      <sz val="12"/>
    </font>
    <font>
      <name val="Franklin Gothic Book"/>
      <family val="2"/>
      <b val="1"/>
      <color theme="1"/>
      <sz val="12"/>
    </font>
    <font>
      <name val="Franklin Gothic Book"/>
      <family val="2"/>
      <b val="1"/>
      <color theme="0"/>
      <sz val="12"/>
    </font>
    <font>
      <name val="Franklin Gothic Book"/>
      <family val="2"/>
      <color theme="0"/>
      <sz val="12"/>
    </font>
    <font>
      <name val="Franklin Gothic Book"/>
      <family val="2"/>
      <b val="1"/>
      <color theme="1"/>
      <sz val="12"/>
      <u val="singleAccounting"/>
    </font>
    <font>
      <name val="Franklin Gothic Book"/>
      <family val="2"/>
      <i val="1"/>
      <color theme="1"/>
      <sz val="12"/>
    </font>
    <font>
      <name val="Franklin Gothic Book"/>
      <family val="2"/>
      <color theme="1"/>
      <sz val="14"/>
    </font>
    <font>
      <name val="Aptos Narrow"/>
      <family val="2"/>
      <color theme="1"/>
      <sz val="16"/>
      <scheme val="minor"/>
    </font>
    <font>
      <name val="Franklin Gothic Book"/>
      <family val="2"/>
      <color theme="0"/>
      <sz val="16"/>
    </font>
    <font>
      <name val="Franklin Gothic Book"/>
      <family val="2"/>
      <color theme="1"/>
      <sz val="16"/>
    </font>
    <font>
      <name val="Franklin Gothic Medium"/>
      <family val="2"/>
      <color theme="1"/>
      <sz val="16"/>
    </font>
    <font>
      <name val="Franklin Gothic Medium"/>
      <family val="2"/>
      <color theme="1"/>
      <sz val="12"/>
    </font>
    <font>
      <name val="Franklin Gothic Medium"/>
      <family val="2"/>
      <color theme="0"/>
      <sz val="9"/>
    </font>
    <font>
      <name val="Franklin Gothic Book"/>
      <family val="2"/>
      <color theme="1"/>
      <sz val="9"/>
    </font>
    <font>
      <name val="Franklin Gothic Medium"/>
      <family val="2"/>
      <color theme="0"/>
      <sz val="20"/>
    </font>
    <font>
      <name val="Franklin Gothic Medium"/>
      <family val="2"/>
      <i val="1"/>
      <color theme="0"/>
      <sz val="10"/>
    </font>
    <font>
      <name val="Franklin Gothic Medium"/>
      <family val="2"/>
      <color theme="1"/>
      <sz val="20"/>
    </font>
    <font>
      <name val="Franklin Gothic Medium"/>
      <family val="2"/>
      <i val="1"/>
      <color theme="1"/>
      <sz val="10"/>
    </font>
    <font>
      <name val="Aptos Narrow"/>
      <family val="2"/>
      <color theme="1"/>
      <sz val="11"/>
      <scheme val="minor"/>
    </font>
    <font>
      <name val="Franklin Gothic Medium"/>
      <family val="2"/>
      <color theme="1"/>
      <sz val="11"/>
    </font>
    <font>
      <name val="Aptos Narrow"/>
      <family val="2"/>
      <color theme="1"/>
      <sz val="10"/>
      <scheme val="minor"/>
    </font>
    <font>
      <name val="Franklin Gothic Medium"/>
      <family val="2"/>
      <color theme="0"/>
      <sz val="10"/>
    </font>
    <font>
      <name val="Franklin Gothic Medium"/>
      <family val="2"/>
      <color theme="1"/>
      <sz val="10"/>
    </font>
    <font>
      <name val="Aptos Narrow"/>
      <family val="2"/>
      <color theme="1"/>
      <sz val="8"/>
      <scheme val="minor"/>
    </font>
    <font>
      <name val="Aptos Narrow"/>
      <family val="2"/>
      <b val="1"/>
      <color theme="1"/>
      <sz val="12"/>
      <scheme val="minor"/>
    </font>
    <font>
      <name val="Aptos Narrow"/>
      <b val="1"/>
      <color theme="1"/>
      <sz val="11"/>
      <scheme val="minor"/>
    </font>
    <font>
      <name val="Franklin Gothic Medium"/>
      <family val="2"/>
      <b val="1"/>
      <color theme="1"/>
      <sz val="11"/>
    </font>
    <font>
      <name val="Aptos Narrow"/>
      <b val="1"/>
      <color theme="1"/>
      <sz val="12"/>
      <scheme val="minor"/>
    </font>
  </fonts>
  <fills count="9">
    <fill>
      <patternFill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CEFBB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77B1CB"/>
        <bgColor indexed="64"/>
      </patternFill>
    </fill>
    <fill>
      <patternFill patternType="solid">
        <fgColor rgb="FFF7E39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 tint="-0.499984740745262"/>
      </right>
      <top style="thin">
        <color theme="0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1" fillId="0" borderId="0"/>
    <xf numFmtId="43" fontId="1" fillId="0" borderId="0"/>
  </cellStyleXfs>
  <cellXfs count="164">
    <xf numFmtId="0" fontId="0" fillId="0" borderId="0" pivotButton="0" quotePrefix="0" xfId="0"/>
    <xf numFmtId="0" fontId="2" fillId="0" borderId="0" pivotButton="0" quotePrefix="0" xfId="0"/>
    <xf numFmtId="0" fontId="4" fillId="2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4" fillId="2" borderId="4" applyAlignment="1" pivotButton="0" quotePrefix="0" xfId="0">
      <alignment horizontal="centerContinuous" vertical="center"/>
    </xf>
    <xf numFmtId="0" fontId="2" fillId="0" borderId="4" applyAlignment="1" pivotButton="0" quotePrefix="0" xfId="0">
      <alignment vertical="center"/>
    </xf>
    <xf numFmtId="0" fontId="3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Continuous"/>
    </xf>
    <xf numFmtId="0" fontId="1" fillId="0" borderId="0" applyAlignment="1" pivotButton="0" quotePrefix="0" xfId="0">
      <alignment horizontal="centerContinuous"/>
    </xf>
    <xf numFmtId="0" fontId="2" fillId="0" borderId="4" pivotButton="0" quotePrefix="0" xfId="0"/>
    <xf numFmtId="164" fontId="7" fillId="0" borderId="0" applyAlignment="1" pivotButton="0" quotePrefix="0" xfId="0">
      <alignment vertical="center"/>
    </xf>
    <xf numFmtId="0" fontId="6" fillId="3" borderId="4" applyAlignment="1" pivotButton="0" quotePrefix="0" xfId="0">
      <alignment horizontal="centerContinuous"/>
    </xf>
    <xf numFmtId="0" fontId="6" fillId="0" borderId="0" applyAlignment="1" pivotButton="0" quotePrefix="0" xfId="0">
      <alignment horizontal="center"/>
    </xf>
    <xf numFmtId="0" fontId="6" fillId="0" borderId="0" applyAlignment="1" pivotButton="0" quotePrefix="1" xfId="0">
      <alignment horizontal="center"/>
    </xf>
    <xf numFmtId="165" fontId="2" fillId="0" borderId="0" applyAlignment="1" pivotButton="0" quotePrefix="0" xfId="0">
      <alignment vertical="center"/>
    </xf>
    <xf numFmtId="165" fontId="3" fillId="0" borderId="0" applyAlignment="1" pivotButton="0" quotePrefix="0" xfId="0">
      <alignment vertical="center"/>
    </xf>
    <xf numFmtId="165" fontId="2" fillId="0" borderId="8" applyAlignment="1" pivotButton="0" quotePrefix="0" xfId="0">
      <alignment vertical="center"/>
    </xf>
    <xf numFmtId="0" fontId="2" fillId="0" borderId="8" applyAlignment="1" pivotButton="0" quotePrefix="0" xfId="0">
      <alignment vertical="center"/>
    </xf>
    <xf numFmtId="166" fontId="7" fillId="0" borderId="0" applyAlignment="1" pivotButton="0" quotePrefix="0" xfId="0">
      <alignment vertical="center"/>
    </xf>
    <xf numFmtId="2" fontId="2" fillId="3" borderId="4" applyAlignment="1" pivotButton="0" quotePrefix="0" xfId="0">
      <alignment horizontal="right" vertical="center"/>
    </xf>
    <xf numFmtId="2" fontId="2" fillId="0" borderId="0" applyAlignment="1" pivotButton="0" quotePrefix="0" xfId="0">
      <alignment horizontal="right" vertical="center"/>
    </xf>
    <xf numFmtId="0" fontId="3" fillId="4" borderId="1" applyAlignment="1" pivotButton="0" quotePrefix="0" xfId="0">
      <alignment horizontal="centerContinuous" vertical="center"/>
    </xf>
    <xf numFmtId="0" fontId="3" fillId="4" borderId="2" applyAlignment="1" pivotButton="0" quotePrefix="0" xfId="0">
      <alignment horizontal="centerContinuous" vertical="center"/>
    </xf>
    <xf numFmtId="0" fontId="3" fillId="4" borderId="3" applyAlignment="1" pivotButton="0" quotePrefix="0" xfId="0">
      <alignment horizontal="centerContinuous" vertical="center"/>
    </xf>
    <xf numFmtId="0" fontId="3" fillId="4" borderId="5" applyAlignment="1" pivotButton="0" quotePrefix="0" xfId="0">
      <alignment horizontal="centerContinuous" vertical="center"/>
    </xf>
    <xf numFmtId="0" fontId="3" fillId="4" borderId="6" applyAlignment="1" pivotButton="0" quotePrefix="0" xfId="0">
      <alignment horizontal="centerContinuous" vertical="center"/>
    </xf>
    <xf numFmtId="0" fontId="3" fillId="4" borderId="7" applyAlignment="1" pivotButton="0" quotePrefix="0" xfId="0">
      <alignment horizontal="centerContinuous" vertical="center"/>
    </xf>
    <xf numFmtId="165" fontId="7" fillId="0" borderId="6" applyAlignment="1" pivotButton="0" quotePrefix="0" xfId="0">
      <alignment horizontal="left" vertical="center" indent="1"/>
    </xf>
    <xf numFmtId="0" fontId="2" fillId="0" borderId="6" applyAlignment="1" pivotButton="0" quotePrefix="0" xfId="0">
      <alignment vertical="center"/>
    </xf>
    <xf numFmtId="2" fontId="2" fillId="3" borderId="5" applyAlignment="1" pivotButton="0" quotePrefix="0" xfId="0">
      <alignment horizontal="right" vertical="center"/>
    </xf>
    <xf numFmtId="2" fontId="2" fillId="0" borderId="6" applyAlignment="1" pivotButton="0" quotePrefix="0" xfId="0">
      <alignment horizontal="right" vertical="center"/>
    </xf>
    <xf numFmtId="0" fontId="0" fillId="0" borderId="6" pivotButton="0" quotePrefix="0" xfId="0"/>
    <xf numFmtId="165" fontId="2" fillId="0" borderId="6" applyAlignment="1" pivotButton="0" quotePrefix="0" xfId="0">
      <alignment vertical="center"/>
    </xf>
    <xf numFmtId="0" fontId="3" fillId="0" borderId="6" applyAlignment="1" pivotButton="0" quotePrefix="0" xfId="0">
      <alignment vertical="center"/>
    </xf>
    <xf numFmtId="2" fontId="2" fillId="3" borderId="9" applyAlignment="1" pivotButton="0" quotePrefix="0" xfId="0">
      <alignment horizontal="right" vertical="center"/>
    </xf>
    <xf numFmtId="2" fontId="2" fillId="0" borderId="8" applyAlignment="1" pivotButton="0" quotePrefix="0" xfId="0">
      <alignment horizontal="right" vertical="center"/>
    </xf>
    <xf numFmtId="0" fontId="0" fillId="0" borderId="8" pivotButton="0" quotePrefix="0" xfId="0"/>
    <xf numFmtId="0" fontId="4" fillId="2" borderId="0" applyAlignment="1" pivotButton="0" quotePrefix="0" xfId="0">
      <alignment vertical="center"/>
    </xf>
    <xf numFmtId="0" fontId="5" fillId="2" borderId="0" applyAlignment="1" pivotButton="0" quotePrefix="0" xfId="0">
      <alignment vertical="center"/>
    </xf>
    <xf numFmtId="0" fontId="5" fillId="2" borderId="10" applyAlignment="1" pivotButton="0" quotePrefix="0" xfId="0">
      <alignment vertical="center"/>
    </xf>
    <xf numFmtId="0" fontId="4" fillId="2" borderId="0" applyAlignment="1" pivotButton="0" quotePrefix="0" xfId="0">
      <alignment horizontal="centerContinuous" vertical="center"/>
    </xf>
    <xf numFmtId="0" fontId="5" fillId="2" borderId="0" applyAlignment="1" pivotButton="0" quotePrefix="0" xfId="0">
      <alignment horizontal="centerContinuous" vertical="center"/>
    </xf>
    <xf numFmtId="0" fontId="5" fillId="2" borderId="10" applyAlignment="1" pivotButton="0" quotePrefix="0" xfId="0">
      <alignment horizontal="centerContinuous" vertical="center"/>
    </xf>
    <xf numFmtId="0" fontId="3" fillId="0" borderId="10" applyAlignment="1" pivotButton="0" quotePrefix="0" xfId="0">
      <alignment horizontal="centerContinuous"/>
    </xf>
    <xf numFmtId="0" fontId="6" fillId="0" borderId="10" applyAlignment="1" pivotButton="0" quotePrefix="0" xfId="0">
      <alignment horizontal="center"/>
    </xf>
    <xf numFmtId="2" fontId="2" fillId="0" borderId="10" applyAlignment="1" pivotButton="0" quotePrefix="0" xfId="0">
      <alignment horizontal="right" vertical="center"/>
    </xf>
    <xf numFmtId="2" fontId="2" fillId="0" borderId="7" applyAlignment="1" pivotButton="0" quotePrefix="0" xfId="0">
      <alignment horizontal="right" vertical="center"/>
    </xf>
    <xf numFmtId="2" fontId="2" fillId="0" borderId="11" applyAlignment="1" pivotButton="0" quotePrefix="0" xfId="0">
      <alignment horizontal="right" vertical="center"/>
    </xf>
    <xf numFmtId="167" fontId="2" fillId="0" borderId="0" applyAlignment="1" pivotButton="0" quotePrefix="0" xfId="0">
      <alignment horizontal="right" vertical="center"/>
    </xf>
    <xf numFmtId="168" fontId="2" fillId="0" borderId="0" applyAlignment="1" pivotButton="0" quotePrefix="0" xfId="0">
      <alignment horizontal="right" vertical="center"/>
    </xf>
    <xf numFmtId="169" fontId="3" fillId="0" borderId="0" applyAlignment="1" pivotButton="0" quotePrefix="0" xfId="0">
      <alignment horizontal="right" vertical="center"/>
    </xf>
    <xf numFmtId="169" fontId="3" fillId="0" borderId="10" applyAlignment="1" pivotButton="0" quotePrefix="0" xfId="0">
      <alignment horizontal="right" vertical="center"/>
    </xf>
    <xf numFmtId="168" fontId="2" fillId="0" borderId="10" applyAlignment="1" pivotButton="0" quotePrefix="0" xfId="0">
      <alignment horizontal="right" vertical="center"/>
    </xf>
    <xf numFmtId="0" fontId="9" fillId="0" borderId="0" pivotButton="0" quotePrefix="0" xfId="0"/>
    <xf numFmtId="0" fontId="8" fillId="0" borderId="0" pivotButton="0" quotePrefix="0" xfId="0"/>
    <xf numFmtId="0" fontId="8" fillId="0" borderId="13" pivotButton="0" quotePrefix="0" xfId="0"/>
    <xf numFmtId="0" fontId="10" fillId="5" borderId="12" applyAlignment="1" pivotButton="0" quotePrefix="0" xfId="0">
      <alignment vertical="center"/>
    </xf>
    <xf numFmtId="0" fontId="10" fillId="5" borderId="18" applyAlignment="1" pivotButton="0" quotePrefix="0" xfId="0">
      <alignment horizontal="center" vertical="center"/>
    </xf>
    <xf numFmtId="0" fontId="12" fillId="0" borderId="14" applyAlignment="1" pivotButton="0" quotePrefix="0" xfId="0">
      <alignment horizontal="left" vertical="center"/>
    </xf>
    <xf numFmtId="0" fontId="12" fillId="0" borderId="13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3" borderId="0" applyAlignment="1" pivotButton="0" quotePrefix="0" xfId="0">
      <alignment horizontal="center" vertical="center"/>
    </xf>
    <xf numFmtId="0" fontId="12" fillId="3" borderId="0" applyAlignment="1" pivotButton="0" quotePrefix="0" xfId="0">
      <alignment horizontal="center" vertical="center" wrapText="1"/>
    </xf>
    <xf numFmtId="0" fontId="9" fillId="0" borderId="15" pivotButton="0" quotePrefix="0" xfId="0"/>
    <xf numFmtId="0" fontId="11" fillId="3" borderId="13" applyAlignment="1" pivotButton="0" quotePrefix="0" xfId="0">
      <alignment horizontal="right" vertical="center"/>
    </xf>
    <xf numFmtId="0" fontId="11" fillId="3" borderId="0" applyAlignment="1" pivotButton="0" quotePrefix="0" xfId="0">
      <alignment horizontal="right" vertical="center"/>
    </xf>
    <xf numFmtId="0" fontId="11" fillId="6" borderId="0" applyAlignment="1" pivotButton="0" quotePrefix="0" xfId="0">
      <alignment horizontal="right" vertical="center"/>
    </xf>
    <xf numFmtId="0" fontId="11" fillId="6" borderId="16" applyAlignment="1" pivotButton="0" quotePrefix="0" xfId="0">
      <alignment horizontal="right" vertical="center"/>
    </xf>
    <xf numFmtId="0" fontId="11" fillId="3" borderId="16" applyAlignment="1" pivotButton="0" quotePrefix="0" xfId="0">
      <alignment horizontal="right" vertical="center"/>
    </xf>
    <xf numFmtId="0" fontId="11" fillId="3" borderId="0" applyAlignment="1" pivotButton="0" quotePrefix="0" xfId="0">
      <alignment vertical="center"/>
    </xf>
    <xf numFmtId="0" fontId="11" fillId="0" borderId="13" applyAlignment="1" pivotButton="0" quotePrefix="0" xfId="0">
      <alignment horizontal="right" vertical="center"/>
    </xf>
    <xf numFmtId="0" fontId="11" fillId="0" borderId="0" applyAlignment="1" pivotButton="0" quotePrefix="0" xfId="0">
      <alignment horizontal="right" vertical="center"/>
    </xf>
    <xf numFmtId="0" fontId="11" fillId="0" borderId="0" applyAlignment="1" pivotButton="0" quotePrefix="0" xfId="0">
      <alignment vertical="center"/>
    </xf>
    <xf numFmtId="0" fontId="11" fillId="0" borderId="17" applyAlignment="1" pivotButton="0" quotePrefix="0" xfId="0">
      <alignment horizontal="right" vertical="center"/>
    </xf>
    <xf numFmtId="0" fontId="12" fillId="3" borderId="19" applyAlignment="1" pivotButton="0" quotePrefix="0" xfId="0">
      <alignment horizontal="left"/>
    </xf>
    <xf numFmtId="0" fontId="12" fillId="3" borderId="20" applyAlignment="1" pivotButton="0" quotePrefix="0" xfId="0">
      <alignment horizontal="right" vertical="center"/>
    </xf>
    <xf numFmtId="0" fontId="12" fillId="3" borderId="2" applyAlignment="1" pivotButton="0" quotePrefix="0" xfId="0">
      <alignment horizontal="right" vertical="center"/>
    </xf>
    <xf numFmtId="0" fontId="12" fillId="6" borderId="2" applyAlignment="1" pivotButton="0" quotePrefix="0" xfId="0">
      <alignment horizontal="right" vertical="center"/>
    </xf>
    <xf numFmtId="0" fontId="12" fillId="6" borderId="19" applyAlignment="1" pivotButton="0" quotePrefix="0" xfId="0">
      <alignment horizontal="right" vertical="center"/>
    </xf>
    <xf numFmtId="0" fontId="12" fillId="3" borderId="2" applyAlignment="1" pivotButton="0" quotePrefix="0" xfId="0">
      <alignment vertical="center"/>
    </xf>
    <xf numFmtId="0" fontId="9" fillId="0" borderId="2" pivotButton="0" quotePrefix="0" xfId="0"/>
    <xf numFmtId="0" fontId="11" fillId="3" borderId="16" applyAlignment="1" pivotButton="0" quotePrefix="0" xfId="0">
      <alignment horizontal="left" vertical="center"/>
    </xf>
    <xf numFmtId="0" fontId="11" fillId="0" borderId="16" applyAlignment="1" pivotButton="0" quotePrefix="0" xfId="0">
      <alignment horizontal="left" vertical="center"/>
    </xf>
    <xf numFmtId="0" fontId="11" fillId="3" borderId="16" applyAlignment="1" pivotButton="0" quotePrefix="0" xfId="0">
      <alignment horizontal="left"/>
    </xf>
    <xf numFmtId="0" fontId="11" fillId="0" borderId="16" applyAlignment="1" pivotButton="0" quotePrefix="0" xfId="0">
      <alignment horizontal="left"/>
    </xf>
    <xf numFmtId="49" fontId="0" fillId="0" borderId="0" pivotButton="0" quotePrefix="0" xfId="0"/>
    <xf numFmtId="170" fontId="0" fillId="0" borderId="0" pivotButton="0" quotePrefix="0" xfId="0"/>
    <xf numFmtId="171" fontId="0" fillId="0" borderId="0" pivotButton="0" quotePrefix="0" xfId="1"/>
    <xf numFmtId="3" fontId="0" fillId="0" borderId="0" pivotButton="0" quotePrefix="0" xfId="0"/>
    <xf numFmtId="172" fontId="0" fillId="0" borderId="0" pivotButton="0" quotePrefix="0" xfId="0"/>
    <xf numFmtId="173" fontId="0" fillId="0" borderId="0" pivotButton="0" quotePrefix="0" xfId="0"/>
    <xf numFmtId="9" fontId="0" fillId="0" borderId="0" pivotButton="0" quotePrefix="0" xfId="0"/>
    <xf numFmtId="3" fontId="0" fillId="0" borderId="0" applyAlignment="1" pivotButton="0" quotePrefix="0" xfId="0">
      <alignment horizontal="right"/>
    </xf>
    <xf numFmtId="3" fontId="13" fillId="0" borderId="0" applyAlignment="1" pivotButton="0" quotePrefix="0" xfId="0">
      <alignment horizontal="right"/>
    </xf>
    <xf numFmtId="0" fontId="14" fillId="7" borderId="0" pivotButton="0" quotePrefix="0" xfId="0"/>
    <xf numFmtId="0" fontId="15" fillId="0" borderId="0" pivotButton="0" quotePrefix="0" xfId="0"/>
    <xf numFmtId="0" fontId="15" fillId="8" borderId="0" pivotButton="0" quotePrefix="0" xfId="0"/>
    <xf numFmtId="0" fontId="15" fillId="8" borderId="0" applyAlignment="1" pivotButton="0" quotePrefix="0" xfId="0">
      <alignment horizontal="right"/>
    </xf>
    <xf numFmtId="0" fontId="15" fillId="0" borderId="0" applyAlignment="1" pivotButton="0" quotePrefix="0" xfId="0">
      <alignment horizontal="right"/>
    </xf>
    <xf numFmtId="3" fontId="22" fillId="0" borderId="0" applyAlignment="1" pivotButton="0" quotePrefix="0" xfId="0">
      <alignment horizontal="right"/>
    </xf>
    <xf numFmtId="1" fontId="2" fillId="0" borderId="0" applyAlignment="1" pivotButton="0" quotePrefix="0" xfId="0">
      <alignment horizontal="right" vertical="center"/>
    </xf>
    <xf numFmtId="0" fontId="15" fillId="3" borderId="0" pivotButton="0" quotePrefix="0" xfId="0"/>
    <xf numFmtId="0" fontId="15" fillId="3" borderId="0" applyAlignment="1" pivotButton="0" quotePrefix="0" xfId="0">
      <alignment horizontal="right"/>
    </xf>
    <xf numFmtId="0" fontId="15" fillId="0" borderId="6" pivotButton="0" quotePrefix="0" xfId="0"/>
    <xf numFmtId="0" fontId="15" fillId="0" borderId="6" applyAlignment="1" pivotButton="0" quotePrefix="0" xfId="0">
      <alignment horizontal="right"/>
    </xf>
    <xf numFmtId="0" fontId="15" fillId="0" borderId="21" pivotButton="0" quotePrefix="0" xfId="0"/>
    <xf numFmtId="0" fontId="15" fillId="0" borderId="21" applyAlignment="1" pivotButton="0" quotePrefix="0" xfId="0">
      <alignment horizontal="right"/>
    </xf>
    <xf numFmtId="3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10" fillId="5" borderId="18" applyAlignment="1" pivotButton="0" quotePrefix="0" xfId="0">
      <alignment horizontal="center" vertical="center"/>
    </xf>
    <xf numFmtId="0" fontId="8" fillId="0" borderId="0" pivotButton="0" quotePrefix="0" xfId="0"/>
    <xf numFmtId="0" fontId="0" fillId="0" borderId="13" pivotButton="0" quotePrefix="0" xfId="0"/>
    <xf numFmtId="0" fontId="23" fillId="5" borderId="0" applyAlignment="1" pivotButton="0" quotePrefix="0" xfId="0">
      <alignment horizontal="center" vertical="center"/>
    </xf>
    <xf numFmtId="3" fontId="22" fillId="0" borderId="0" applyAlignment="1" pivotButton="0" quotePrefix="0" xfId="0">
      <alignment horizontal="right"/>
    </xf>
    <xf numFmtId="0" fontId="16" fillId="7" borderId="0" applyAlignment="1" pivotButton="0" quotePrefix="0" xfId="0">
      <alignment horizontal="center"/>
    </xf>
    <xf numFmtId="0" fontId="0" fillId="0" borderId="0" pivotButton="0" quotePrefix="0" xfId="0"/>
    <xf numFmtId="0" fontId="17" fillId="7" borderId="0" applyAlignment="1" pivotButton="0" quotePrefix="0" xfId="0">
      <alignment horizontal="center"/>
    </xf>
    <xf numFmtId="0" fontId="18" fillId="8" borderId="0" applyAlignment="1" pivotButton="0" quotePrefix="0" xfId="0">
      <alignment horizontal="center"/>
    </xf>
    <xf numFmtId="0" fontId="19" fillId="8" borderId="0" applyAlignment="1" pivotButton="0" quotePrefix="0" xfId="0">
      <alignment horizontal="center"/>
    </xf>
    <xf numFmtId="3" fontId="26" fillId="0" borderId="0" pivotButton="0" quotePrefix="0" xfId="0"/>
    <xf numFmtId="0" fontId="29" fillId="0" borderId="0" pivotButton="0" quotePrefix="0" xfId="0"/>
    <xf numFmtId="0" fontId="24" fillId="0" borderId="1" applyAlignment="1" pivotButton="0" quotePrefix="0" xfId="0">
      <alignment horizontal="center" vertical="center"/>
    </xf>
    <xf numFmtId="0" fontId="24" fillId="0" borderId="2" applyAlignment="1" pivotButton="0" quotePrefix="0" xfId="0">
      <alignment horizontal="center" vertical="center"/>
    </xf>
    <xf numFmtId="0" fontId="24" fillId="3" borderId="2" applyAlignment="1" pivotButton="0" quotePrefix="0" xfId="0">
      <alignment horizontal="center" vertical="center"/>
    </xf>
    <xf numFmtId="0" fontId="24" fillId="3" borderId="2" applyAlignment="1" pivotButton="0" quotePrefix="0" xfId="0">
      <alignment horizontal="center" vertical="center" wrapText="1"/>
    </xf>
    <xf numFmtId="0" fontId="24" fillId="0" borderId="3" applyAlignment="1" pivotButton="0" quotePrefix="0" xfId="0">
      <alignment horizontal="center" vertical="center" wrapText="1"/>
    </xf>
    <xf numFmtId="3" fontId="20" fillId="3" borderId="4" pivotButton="0" quotePrefix="0" xfId="0"/>
    <xf numFmtId="3" fontId="20" fillId="3" borderId="0" pivotButton="0" quotePrefix="0" xfId="0"/>
    <xf numFmtId="3" fontId="20" fillId="6" borderId="0" pivotButton="0" quotePrefix="0" xfId="0"/>
    <xf numFmtId="0" fontId="20" fillId="3" borderId="0" applyAlignment="1" pivotButton="0" quotePrefix="0" xfId="0">
      <alignment horizontal="right"/>
    </xf>
    <xf numFmtId="0" fontId="20" fillId="6" borderId="0" applyAlignment="1" pivotButton="0" quotePrefix="0" xfId="0">
      <alignment horizontal="right"/>
    </xf>
    <xf numFmtId="0" fontId="20" fillId="6" borderId="10" applyAlignment="1" pivotButton="0" quotePrefix="0" xfId="0">
      <alignment horizontal="right"/>
    </xf>
    <xf numFmtId="3" fontId="20" fillId="0" borderId="4" pivotButton="0" quotePrefix="0" xfId="0"/>
    <xf numFmtId="3" fontId="20" fillId="0" borderId="0" pivotButton="0" quotePrefix="0" xfId="0"/>
    <xf numFmtId="0" fontId="20" fillId="0" borderId="0" applyAlignment="1" pivotButton="0" quotePrefix="0" xfId="0">
      <alignment horizontal="right"/>
    </xf>
    <xf numFmtId="0" fontId="20" fillId="3" borderId="10" applyAlignment="1" pivotButton="0" quotePrefix="0" xfId="0">
      <alignment horizontal="right"/>
    </xf>
    <xf numFmtId="3" fontId="21" fillId="0" borderId="4" pivotButton="0" quotePrefix="0" xfId="0"/>
    <xf numFmtId="3" fontId="21" fillId="0" borderId="0" pivotButton="0" quotePrefix="0" xfId="0"/>
    <xf numFmtId="0" fontId="21" fillId="0" borderId="0" applyAlignment="1" pivotButton="0" quotePrefix="0" xfId="0">
      <alignment horizontal="right"/>
    </xf>
    <xf numFmtId="0" fontId="21" fillId="3" borderId="0" applyAlignment="1" pivotButton="0" quotePrefix="0" xfId="0">
      <alignment horizontal="right"/>
    </xf>
    <xf numFmtId="0" fontId="21" fillId="3" borderId="10" applyAlignment="1" pivotButton="0" quotePrefix="0" xfId="0">
      <alignment horizontal="right"/>
    </xf>
    <xf numFmtId="3" fontId="27" fillId="3" borderId="4" pivotButton="0" quotePrefix="0" xfId="0"/>
    <xf numFmtId="3" fontId="27" fillId="3" borderId="0" pivotButton="0" quotePrefix="0" xfId="0"/>
    <xf numFmtId="3" fontId="27" fillId="6" borderId="0" pivotButton="0" quotePrefix="0" xfId="0"/>
    <xf numFmtId="0" fontId="27" fillId="3" borderId="0" applyAlignment="1" pivotButton="0" quotePrefix="0" xfId="0">
      <alignment horizontal="right"/>
    </xf>
    <xf numFmtId="0" fontId="27" fillId="6" borderId="0" applyAlignment="1" pivotButton="0" quotePrefix="0" xfId="0">
      <alignment horizontal="right"/>
    </xf>
    <xf numFmtId="0" fontId="27" fillId="6" borderId="10" applyAlignment="1" pivotButton="0" quotePrefix="0" xfId="0">
      <alignment horizontal="right"/>
    </xf>
    <xf numFmtId="0" fontId="21" fillId="0" borderId="10" applyAlignment="1" pivotButton="0" quotePrefix="0" xfId="0">
      <alignment horizontal="right"/>
    </xf>
    <xf numFmtId="3" fontId="26" fillId="0" borderId="5" pivotButton="0" quotePrefix="0" xfId="0"/>
    <xf numFmtId="3" fontId="26" fillId="0" borderId="6" pivotButton="0" quotePrefix="0" xfId="0"/>
    <xf numFmtId="0" fontId="26" fillId="0" borderId="6" pivotButton="0" quotePrefix="0" xfId="0"/>
    <xf numFmtId="0" fontId="26" fillId="0" borderId="7" pivotButton="0" quotePrefix="0" xfId="0"/>
    <xf numFmtId="0" fontId="24" fillId="0" borderId="23" applyAlignment="1" pivotButton="0" quotePrefix="0" xfId="0">
      <alignment horizontal="center" vertical="center"/>
    </xf>
    <xf numFmtId="3" fontId="20" fillId="3" borderId="24" pivotButton="0" quotePrefix="0" xfId="0"/>
    <xf numFmtId="3" fontId="27" fillId="3" borderId="24" pivotButton="0" quotePrefix="0" xfId="0"/>
    <xf numFmtId="3" fontId="28" fillId="0" borderId="22" pivotButton="0" quotePrefix="0" xfId="0"/>
    <xf numFmtId="3" fontId="28" fillId="0" borderId="25" pivotButton="0" quotePrefix="0" xfId="0"/>
    <xf numFmtId="3" fontId="28" fillId="0" borderId="26" pivotButton="0" quotePrefix="0" xfId="0"/>
    <xf numFmtId="0" fontId="28" fillId="0" borderId="26" applyAlignment="1" pivotButton="0" quotePrefix="0" xfId="0">
      <alignment horizontal="right"/>
    </xf>
    <xf numFmtId="0" fontId="28" fillId="0" borderId="27" applyAlignment="1" pivotButton="0" quotePrefix="0" xfId="0">
      <alignment horizontal="right"/>
    </xf>
    <xf numFmtId="172" fontId="0" fillId="0" borderId="0" pivotButton="0" quotePrefix="0" xfId="0"/>
    <xf numFmtId="173" fontId="0" fillId="0" borderId="0" pivotButton="0" quotePrefix="0" xfId="0"/>
    <xf numFmtId="171" fontId="0" fillId="0" borderId="0" pivotButton="0" quotePrefix="0" xfId="1"/>
  </cellXfs>
  <cellStyles count="2">
    <cellStyle name="Normal" xfId="0" builtinId="0"/>
    <cellStyle name="Tusental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online_kpis!$B$20</f>
              <strCache>
                <ptCount val="1"/>
                <pt idx="0">
                  <v>Sessions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online_kpis!$D$20:$K$20</f>
              <numCache>
                <formatCode>#\ ##0.0</formatCode>
                <ptCount val="8"/>
                <pt idx="0">
                  <v>40.3</v>
                </pt>
                <pt idx="1">
                  <v>39.8</v>
                </pt>
                <pt idx="2">
                  <v>33.5</v>
                </pt>
                <pt idx="3">
                  <v>36</v>
                </pt>
                <pt idx="4">
                  <v>24.9</v>
                </pt>
                <pt idx="5">
                  <v>29.3</v>
                </pt>
                <pt idx="6">
                  <v>23.7</v>
                </pt>
                <pt idx="7">
                  <v>25.5</v>
                </pt>
              </numCache>
            </numRef>
          </val>
          <smooth val="1"/>
        </ser>
        <ser>
          <idx val="1"/>
          <order val="1"/>
          <tx>
            <strRef>
              <f>online_kpis!$B$21</f>
              <strCache>
                <ptCount val="1"/>
                <pt idx="0">
                  <v>Sessions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online_kpis!$D$21:$K$21</f>
              <numCache>
                <formatCode>#\ ##0.0</formatCode>
                <ptCount val="8"/>
                <pt idx="0">
                  <v>28.6</v>
                </pt>
                <pt idx="1">
                  <v>27.4</v>
                </pt>
                <pt idx="2">
                  <v>24.7</v>
                </pt>
                <pt idx="3">
                  <v>22.5</v>
                </pt>
                <pt idx="4">
                  <v>23.9</v>
                </pt>
                <pt idx="5">
                  <v>19.1</v>
                </pt>
                <pt idx="6">
                  <v>25.2</v>
                </pt>
                <pt idx="7">
                  <v>24.9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\ ##0.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online_kpis!$B$12</f>
              <strCache>
                <ptCount val="1"/>
                <pt idx="0">
                  <v>Conversion Rate (%)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online_kpis!$D$12:$K$12</f>
              <numCache>
                <formatCode>0.0%</formatCode>
                <ptCount val="8"/>
                <pt idx="0">
                  <v>0.022</v>
                </pt>
                <pt idx="1">
                  <v>0.021</v>
                </pt>
                <pt idx="2">
                  <v>0.022</v>
                </pt>
                <pt idx="3">
                  <v>0.017</v>
                </pt>
                <pt idx="4">
                  <v>0.021</v>
                </pt>
                <pt idx="5">
                  <v>0.018</v>
                </pt>
                <pt idx="6">
                  <v>0.021</v>
                </pt>
                <pt idx="7">
                  <v>0.02</v>
                </pt>
              </numCache>
            </numRef>
          </val>
          <smooth val="1"/>
        </ser>
        <ser>
          <idx val="1"/>
          <order val="1"/>
          <tx>
            <strRef>
              <f>online_kpis!$B$13</f>
              <strCache>
                <ptCount val="1"/>
                <pt idx="0">
                  <v>Conversion Rate (%)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online_kpis!$D$13:$K$13</f>
              <numCache>
                <formatCode>0.0%</formatCode>
                <ptCount val="8"/>
                <pt idx="0">
                  <v>0.028</v>
                </pt>
                <pt idx="1">
                  <v>0.032</v>
                </pt>
                <pt idx="2">
                  <v>0.022</v>
                </pt>
                <pt idx="3">
                  <v>0.025</v>
                </pt>
                <pt idx="4">
                  <v>0.026</v>
                </pt>
                <pt idx="5">
                  <v>0.025</v>
                </pt>
                <pt idx="6">
                  <v>0.018</v>
                </pt>
                <pt idx="7">
                  <v>0.027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online_kpis!$B$14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online_kpis!$D$14:$K$14</f>
              <numCache>
                <formatCode>#,##0</formatCode>
                <ptCount val="8"/>
                <pt idx="0">
                  <v>373</v>
                </pt>
                <pt idx="1">
                  <v>338</v>
                </pt>
                <pt idx="2">
                  <v>331</v>
                </pt>
                <pt idx="3">
                  <v>269</v>
                </pt>
                <pt idx="4">
                  <v>215</v>
                </pt>
                <pt idx="5">
                  <v>162</v>
                </pt>
                <pt idx="6">
                  <v>182</v>
                </pt>
                <pt idx="7">
                  <v>186</v>
                </pt>
              </numCache>
            </numRef>
          </val>
          <smooth val="1"/>
        </ser>
        <ser>
          <idx val="1"/>
          <order val="1"/>
          <tx>
            <strRef>
              <f>online_kpis!$B$15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online_kpis!$D$15:$K$15</f>
              <numCache>
                <formatCode>#,##0</formatCode>
                <ptCount val="8"/>
                <pt idx="0">
                  <v>334</v>
                </pt>
                <pt idx="1">
                  <v>332</v>
                </pt>
                <pt idx="2">
                  <v>229</v>
                </pt>
                <pt idx="3">
                  <v>223</v>
                </pt>
                <pt idx="4">
                  <v>241</v>
                </pt>
                <pt idx="5">
                  <v>172</v>
                </pt>
                <pt idx="6">
                  <v>148</v>
                </pt>
                <pt idx="7">
                  <v>203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online_kpis!$B$18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online_kpis!$D$18:$K$18</f>
              <numCache>
                <formatCode>#,##0</formatCode>
                <ptCount val="8"/>
                <pt idx="0">
                  <v>491</v>
                </pt>
                <pt idx="1">
                  <v>451</v>
                </pt>
                <pt idx="2">
                  <v>383</v>
                </pt>
                <pt idx="3">
                  <v>328</v>
                </pt>
                <pt idx="4">
                  <v>287</v>
                </pt>
                <pt idx="5">
                  <v>341</v>
                </pt>
                <pt idx="6">
                  <v>307</v>
                </pt>
                <pt idx="7">
                  <v>309</v>
                </pt>
              </numCache>
            </numRef>
          </val>
          <smooth val="1"/>
        </ser>
        <ser>
          <idx val="1"/>
          <order val="1"/>
          <tx>
            <strRef>
              <f>online_kpis!$B$19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online_kpis!$D$19:$K$19</f>
              <numCache>
                <formatCode>#,##0</formatCode>
                <ptCount val="8"/>
                <pt idx="0">
                  <v>453</v>
                </pt>
                <pt idx="1">
                  <v>534</v>
                </pt>
                <pt idx="2">
                  <v>307</v>
                </pt>
                <pt idx="3">
                  <v>323</v>
                </pt>
                <pt idx="4">
                  <v>371</v>
                </pt>
                <pt idx="5">
                  <v>299</v>
                </pt>
                <pt idx="6">
                  <v>297</v>
                </pt>
                <pt idx="7">
                  <v>473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online_kpis!$B$6</f>
              <strCache>
                <ptCount val="1"/>
                <pt idx="0">
                  <v>AOV New Customers (ex. VAT)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online_kpis!$D$6:$K$6</f>
              <numCache>
                <formatCode>#,##0</formatCode>
                <ptCount val="8"/>
                <pt idx="0">
                  <v>1354</v>
                </pt>
                <pt idx="1">
                  <v>1332</v>
                </pt>
                <pt idx="2">
                  <v>1474</v>
                </pt>
                <pt idx="3">
                  <v>1541</v>
                </pt>
                <pt idx="4">
                  <v>1627</v>
                </pt>
                <pt idx="5">
                  <v>1729</v>
                </pt>
                <pt idx="6">
                  <v>1570</v>
                </pt>
                <pt idx="7">
                  <v>1722</v>
                </pt>
              </numCache>
            </numRef>
          </val>
          <smooth val="1"/>
        </ser>
        <ser>
          <idx val="1"/>
          <order val="1"/>
          <tx>
            <strRef>
              <f>online_kpis!$B$7</f>
              <strCache>
                <ptCount val="1"/>
                <pt idx="0">
                  <v>AOV New Customers (ex. VAT)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online_kpis!$D$7:$K$7</f>
              <numCache>
                <formatCode>#,##0</formatCode>
                <ptCount val="8"/>
                <pt idx="0">
                  <v>1456</v>
                </pt>
                <pt idx="1">
                  <v>1369</v>
                </pt>
                <pt idx="2">
                  <v>1646</v>
                </pt>
                <pt idx="3">
                  <v>1403</v>
                </pt>
                <pt idx="4">
                  <v>1352</v>
                </pt>
                <pt idx="5">
                  <v>1483</v>
                </pt>
                <pt idx="6">
                  <v>1565</v>
                </pt>
                <pt idx="7">
                  <v>1669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online_kpis!$B$8</f>
              <strCache>
                <ptCount val="1"/>
                <pt idx="0">
                  <v>AOV Returning Customers (ex. VAT)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online_kpis!$D$8:$K$8</f>
              <numCache>
                <formatCode>#,##0</formatCode>
                <ptCount val="8"/>
                <pt idx="0">
                  <v>1668</v>
                </pt>
                <pt idx="1">
                  <v>1603</v>
                </pt>
                <pt idx="2">
                  <v>1909</v>
                </pt>
                <pt idx="3">
                  <v>1985</v>
                </pt>
                <pt idx="4">
                  <v>1718</v>
                </pt>
                <pt idx="5">
                  <v>1843</v>
                </pt>
                <pt idx="6">
                  <v>1790</v>
                </pt>
                <pt idx="7">
                  <v>1842</v>
                </pt>
              </numCache>
            </numRef>
          </val>
          <smooth val="1"/>
        </ser>
        <ser>
          <idx val="1"/>
          <order val="1"/>
          <tx>
            <strRef>
              <f>online_kpis!$B$9</f>
              <strCache>
                <ptCount val="1"/>
                <pt idx="0">
                  <v>AOV Returning Customers (ex. VAT)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online_kpis!$D$9:$K$9</f>
              <numCache>
                <formatCode>#,##0</formatCode>
                <ptCount val="8"/>
                <pt idx="0">
                  <v>1912</v>
                </pt>
                <pt idx="1">
                  <v>1572</v>
                </pt>
                <pt idx="2">
                  <v>1835</v>
                </pt>
                <pt idx="3">
                  <v>1993</v>
                </pt>
                <pt idx="4">
                  <v>1769</v>
                </pt>
                <pt idx="5">
                  <v>1901</v>
                </pt>
                <pt idx="6">
                  <v>1908</v>
                </pt>
                <pt idx="7">
                  <v>1758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online_kpis!$B$16</f>
              <strCache>
                <ptCount val="1"/>
                <pt idx="0">
                  <v>Online Media Spend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online_kpis!$D$16:$K$16</f>
              <numCache>
                <formatCode>#,##0</formatCode>
                <ptCount val="8"/>
                <pt idx="0">
                  <v>252</v>
                </pt>
                <pt idx="1">
                  <v>249</v>
                </pt>
                <pt idx="2">
                  <v>260</v>
                </pt>
                <pt idx="3">
                  <v>239</v>
                </pt>
                <pt idx="4">
                  <v>113</v>
                </pt>
                <pt idx="5">
                  <v>195</v>
                </pt>
                <pt idx="6">
                  <v>143</v>
                </pt>
                <pt idx="7">
                  <v>197</v>
                </pt>
              </numCache>
            </numRef>
          </val>
          <smooth val="1"/>
        </ser>
        <ser>
          <idx val="1"/>
          <order val="1"/>
          <tx>
            <strRef>
              <f>online_kpis!$B$17</f>
              <strCache>
                <ptCount val="1"/>
                <pt idx="0">
                  <v>Online Media Spend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online_kpis!$D$17:$K$17</f>
              <numCache>
                <formatCode>#,##0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online_kpis!$B$22</f>
              <strCache>
                <ptCount val="1"/>
                <pt idx="0">
                  <v>nCAC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online_kpis!$D$22:$K$22</f>
              <numCache>
                <formatCode>#,##0</formatCode>
                <ptCount val="8"/>
                <pt idx="0">
                  <v>474</v>
                </pt>
                <pt idx="1">
                  <v>516</v>
                </pt>
                <pt idx="2">
                  <v>549</v>
                </pt>
                <pt idx="3">
                  <v>621</v>
                </pt>
                <pt idx="4">
                  <v>369</v>
                </pt>
                <pt idx="5">
                  <v>844</v>
                </pt>
                <pt idx="6">
                  <v>550</v>
                </pt>
                <pt idx="7">
                  <v>742</v>
                </pt>
              </numCache>
            </numRef>
          </val>
          <smooth val="1"/>
        </ser>
        <ser>
          <idx val="1"/>
          <order val="1"/>
          <tx>
            <strRef>
              <f>online_kpis!$B$23</f>
              <strCache>
                <ptCount val="1"/>
                <pt idx="0">
                  <v>nCAC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online_kpis!$D$23:$K$23</f>
              <numCache>
                <formatCode>#,##0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#,##0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9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3058553901703288"/>
          <y val="0.1195243621960049"/>
          <w val="0.9388289219659343"/>
          <h val="0.6182338068472596"/>
        </manualLayout>
      </layout>
      <lineChart>
        <grouping val="standard"/>
        <varyColors val="0"/>
        <ser>
          <idx val="0"/>
          <order val="0"/>
          <tx>
            <strRef>
              <f>online_kpis!$B$10</f>
              <strCache>
                <ptCount val="1"/>
                <pt idx="0">
                  <v>COS%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online_kpis!$D$10:$K$10</f>
              <numCache>
                <formatCode>0%</formatCode>
                <ptCount val="8"/>
                <pt idx="0">
                  <v>0.19</v>
                </pt>
                <pt idx="1">
                  <v>0.21</v>
                </pt>
                <pt idx="2">
                  <v>0.21</v>
                </pt>
                <pt idx="3">
                  <v>0.22</v>
                </pt>
                <pt idx="4">
                  <v>0.13</v>
                </pt>
                <pt idx="5">
                  <v>0.22</v>
                </pt>
                <pt idx="6">
                  <v>0.17</v>
                </pt>
                <pt idx="7">
                  <v>0.22</v>
                </pt>
              </numCache>
            </numRef>
          </val>
          <smooth val="1"/>
        </ser>
        <ser>
          <idx val="1"/>
          <order val="1"/>
          <tx>
            <strRef>
              <f>online_kpis!$B$11</f>
              <strCache>
                <ptCount val="1"/>
                <pt idx="0">
                  <v>COS%</v>
                </pt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online_kpis!$D$5:$K$5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online_kpis!$D$11:$K$11</f>
              <numCache>
                <formatCode>0%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33448352"/>
        <axId val="1951968352"/>
      </lineChart>
      <catAx>
        <axId val="14334483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51968352"/>
        <crosses val="autoZero"/>
        <auto val="1"/>
        <lblAlgn val="ctr"/>
        <lblOffset val="100"/>
        <noMultiLvlLbl val="0"/>
      </catAx>
      <valAx>
        <axId val="1951968352"/>
        <scaling>
          <orientation val="minMax"/>
        </scaling>
        <delete val="1"/>
        <axPos val="l"/>
        <majorGridlines>
          <spPr>
            <a:ln xmlns:a="http://schemas.openxmlformats.org/drawingml/2006/main" w="3175" cap="flat" cmpd="sng" algn="ctr">
              <a:noFill/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crossAx val="143344835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0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contribution!$C$6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contribution!$E$6:$L$6</f>
              <numCache>
                <formatCode>#,##0</formatCode>
                <ptCount val="8"/>
                <pt idx="0">
                  <v>101.319</v>
                </pt>
                <pt idx="1">
                  <v>92.821</v>
                </pt>
                <pt idx="2">
                  <v>125.662</v>
                </pt>
                <pt idx="3">
                  <v>99.221</v>
                </pt>
                <pt idx="4">
                  <v>139.353</v>
                </pt>
                <pt idx="5">
                  <v>35.835</v>
                </pt>
                <pt idx="6">
                  <v>77.48099999999999</v>
                </pt>
                <pt idx="7">
                  <v>62.115</v>
                </pt>
              </numCache>
            </numRef>
          </val>
          <smooth val="1"/>
        </ser>
        <ser>
          <idx val="1"/>
          <order val="1"/>
          <tx>
            <strRef>
              <f>contribution!$C$7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contribution!$E$7:$L$7</f>
              <numCache>
                <formatCode>#,##0</formatCode>
                <ptCount val="8"/>
                <pt idx="0">
                  <v>289.735</v>
                </pt>
                <pt idx="1">
                  <v>261.685</v>
                </pt>
                <pt idx="2">
                  <v>247.488</v>
                </pt>
                <pt idx="3">
                  <v>208.719</v>
                </pt>
                <pt idx="4">
                  <v>216.394</v>
                </pt>
                <pt idx="5">
                  <v>170.271</v>
                </pt>
                <pt idx="6">
                  <v>151.883</v>
                </pt>
                <pt idx="7">
                  <v>221.509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29489376"/>
        <axId val="1676722544"/>
      </lineChart>
      <catAx>
        <axId val="6294893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676722544"/>
        <crosses val="autoZero"/>
        <auto val="1"/>
        <lblAlgn val="ctr"/>
        <lblOffset val="100"/>
        <noMultiLvlLbl val="0"/>
      </catAx>
      <valAx>
        <axId val="1676722544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629489376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1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contribution!$C$8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contribution!$E$8:$L$8</f>
              <numCache>
                <formatCode>#,##0</formatCode>
                <ptCount val="8"/>
                <pt idx="0">
                  <v>375.363</v>
                </pt>
                <pt idx="1">
                  <v>354.646</v>
                </pt>
                <pt idx="2">
                  <v>382.66</v>
                </pt>
                <pt idx="3">
                  <v>346.597</v>
                </pt>
                <pt idx="4">
                  <v>274.293</v>
                </pt>
                <pt idx="5">
                  <v>328.496</v>
                </pt>
                <pt idx="6">
                  <v>298.788</v>
                </pt>
                <pt idx="7">
                  <v>296.569</v>
                </pt>
              </numCache>
            </numRef>
          </val>
          <smooth val="1"/>
        </ser>
        <ser>
          <idx val="1"/>
          <order val="1"/>
          <tx>
            <strRef>
              <f>contribution!$C$9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contribution!$E$9:$L$9</f>
              <numCache>
                <formatCode>#,##0</formatCode>
                <ptCount val="8"/>
                <pt idx="0">
                  <v>516.123</v>
                </pt>
                <pt idx="1">
                  <v>483.227</v>
                </pt>
                <pt idx="2">
                  <v>369.895</v>
                </pt>
                <pt idx="3">
                  <v>429.548</v>
                </pt>
                <pt idx="4">
                  <v>435.809</v>
                </pt>
                <pt idx="5">
                  <v>379.246</v>
                </pt>
                <pt idx="6">
                  <v>371.469</v>
                </pt>
                <pt idx="7">
                  <v>543.5069999999999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29489376"/>
        <axId val="1676722544"/>
      </lineChart>
      <catAx>
        <axId val="6294893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676722544"/>
        <crosses val="autoZero"/>
        <auto val="1"/>
        <lblAlgn val="ctr"/>
        <lblOffset val="100"/>
        <noMultiLvlLbl val="0"/>
      </catAx>
      <valAx>
        <axId val="1676722544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629489376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2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contribution!$C$10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contribution!$E$10:$L$10</f>
              <numCache>
                <formatCode>#,##0</formatCode>
                <ptCount val="8"/>
                <pt idx="0">
                  <v>476.682</v>
                </pt>
                <pt idx="1">
                  <v>447.467</v>
                </pt>
                <pt idx="2">
                  <v>508.322</v>
                </pt>
                <pt idx="3">
                  <v>445.817</v>
                </pt>
                <pt idx="4">
                  <v>413.645</v>
                </pt>
                <pt idx="5">
                  <v>364.331</v>
                </pt>
                <pt idx="6">
                  <v>376.269</v>
                </pt>
                <pt idx="7">
                  <v>358.684</v>
                </pt>
              </numCache>
            </numRef>
          </val>
          <smooth val="1"/>
        </ser>
        <ser>
          <idx val="1"/>
          <order val="1"/>
          <tx>
            <strRef>
              <f>contribution!$C$11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contribution!$E$11:$L$11</f>
              <numCache>
                <formatCode>#,##0</formatCode>
                <ptCount val="8"/>
                <pt idx="0">
                  <v>805.8579999999999</v>
                </pt>
                <pt idx="1">
                  <v>744.9109999999999</v>
                </pt>
                <pt idx="2">
                  <v>617.3819999999999</v>
                </pt>
                <pt idx="3">
                  <v>638.268</v>
                </pt>
                <pt idx="4">
                  <v>652.203</v>
                </pt>
                <pt idx="5">
                  <v>549.5170000000001</v>
                </pt>
                <pt idx="6">
                  <v>523.352</v>
                </pt>
                <pt idx="7">
                  <v>765.016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29489376"/>
        <axId val="1676722544"/>
      </lineChart>
      <catAx>
        <axId val="6294893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676722544"/>
        <crosses val="autoZero"/>
        <auto val="1"/>
        <lblAlgn val="ctr"/>
        <lblOffset val="100"/>
        <noMultiLvlLbl val="0"/>
      </catAx>
      <valAx>
        <axId val="1676722544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629489376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3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contribution!$C$12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contribution!$E$12:$L$12</f>
              <numCache>
                <formatCode>#,##0</formatCode>
                <ptCount val="8"/>
                <pt idx="0">
                  <v>504.934</v>
                </pt>
                <pt idx="1">
                  <v>450.09</v>
                </pt>
                <pt idx="2">
                  <v>487.944</v>
                </pt>
                <pt idx="3">
                  <v>414.471</v>
                </pt>
                <pt idx="4">
                  <v>349.85</v>
                </pt>
                <pt idx="5">
                  <v>280.129</v>
                </pt>
                <pt idx="6">
                  <v>285.725</v>
                </pt>
                <pt idx="7">
                  <v>320.242</v>
                </pt>
              </numCache>
            </numRef>
          </val>
          <smooth val="1"/>
        </ser>
        <ser>
          <idx val="1"/>
          <order val="1"/>
          <tx>
            <strRef>
              <f>contribution!$C$13</f>
              <strCache>
                <ptCount val="1"/>
                <pt idx="0">
                  <v>New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contribution!$E$13:$L$13</f>
              <numCache>
                <formatCode>#,##0</formatCode>
                <ptCount val="8"/>
                <pt idx="0">
                  <v>486.341</v>
                </pt>
                <pt idx="1">
                  <v>454.502</v>
                </pt>
                <pt idx="2">
                  <v>376.849</v>
                </pt>
                <pt idx="3">
                  <v>312.859</v>
                </pt>
                <pt idx="4">
                  <v>325.895</v>
                </pt>
                <pt idx="5">
                  <v>255.144</v>
                </pt>
                <pt idx="6">
                  <v>231.639</v>
                </pt>
                <pt idx="7">
                  <v>338.81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29489376"/>
        <axId val="1676722544"/>
      </lineChart>
      <catAx>
        <axId val="6294893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676722544"/>
        <crosses val="autoZero"/>
        <auto val="1"/>
        <lblAlgn val="ctr"/>
        <lblOffset val="100"/>
        <noMultiLvlLbl val="0"/>
      </catAx>
      <valAx>
        <axId val="1676722544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629489376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4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contribution!$C$14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contribution!$E$14:$L$14</f>
              <numCache>
                <formatCode>#,##0</formatCode>
                <ptCount val="8"/>
                <pt idx="0">
                  <v>819.208</v>
                </pt>
                <pt idx="1">
                  <v>722.987</v>
                </pt>
                <pt idx="2">
                  <v>731.028</v>
                </pt>
                <pt idx="3">
                  <v>650.96</v>
                </pt>
                <pt idx="4">
                  <v>493.046</v>
                </pt>
                <pt idx="5">
                  <v>628.326</v>
                </pt>
                <pt idx="6">
                  <v>549.598</v>
                </pt>
                <pt idx="7">
                  <v>569.199</v>
                </pt>
              </numCache>
            </numRef>
          </val>
          <smooth val="1"/>
        </ser>
        <ser>
          <idx val="1"/>
          <order val="1"/>
          <tx>
            <strRef>
              <f>contribution!$C$15</f>
              <strCache>
                <ptCount val="1"/>
                <pt idx="0">
                  <v>Returning Customers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contribution!$E$5:$L$5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contribution!$E$15:$L$15</f>
              <numCache>
                <formatCode>#,##0</formatCode>
                <ptCount val="8"/>
                <pt idx="0">
                  <v>866.348</v>
                </pt>
                <pt idx="1">
                  <v>839.285</v>
                </pt>
                <pt idx="2">
                  <v>563.2380000000001</v>
                </pt>
                <pt idx="3">
                  <v>643.871</v>
                </pt>
                <pt idx="4">
                  <v>656.3390000000001</v>
                </pt>
                <pt idx="5">
                  <v>568.2809999999999</v>
                </pt>
                <pt idx="6">
                  <v>566.534</v>
                </pt>
                <pt idx="7">
                  <v>831.322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29489376"/>
        <axId val="1676722544"/>
      </lineChart>
      <catAx>
        <axId val="6294893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676722544"/>
        <crosses val="autoZero"/>
        <auto val="1"/>
        <lblAlgn val="ctr"/>
        <lblOffset val="100"/>
        <noMultiLvlLbl val="0"/>
      </catAx>
      <valAx>
        <axId val="1676722544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629489376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5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gender!$C$6</f>
              <strCache>
                <ptCount val="1"/>
                <pt idx="0">
                  <v>Last Year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75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gender!$D$5:$K$5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gender!$D$6:$K$6</f>
              <numCache>
                <formatCode>#,##0</formatCode>
                <ptCount val="8"/>
                <pt idx="0">
                  <v>1219.714</v>
                </pt>
                <pt idx="1">
                  <v>1096.904</v>
                </pt>
                <pt idx="2">
                  <v>1167.165</v>
                </pt>
                <pt idx="3">
                  <v>979.3819999999999</v>
                </pt>
                <pt idx="4">
                  <v>794.586</v>
                </pt>
                <pt idx="5">
                  <v>872.819</v>
                </pt>
                <pt idx="6">
                  <v>795.63</v>
                </pt>
                <pt idx="7">
                  <v>835.351</v>
                </pt>
              </numCache>
            </numRef>
          </val>
          <smooth val="1"/>
        </ser>
        <ser>
          <idx val="1"/>
          <order val="1"/>
          <tx>
            <strRef>
              <f>gender!$C$7</f>
              <strCache>
                <ptCount val="1"/>
                <pt idx="0">
                  <v>Current Year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gender!$D$5:$K$5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gender!$D$7:$K$7</f>
              <numCache>
                <formatCode>#,##0</formatCode>
                <ptCount val="8"/>
                <pt idx="0">
                  <v>1296.441</v>
                </pt>
                <pt idx="1">
                  <v>1251.654</v>
                </pt>
                <pt idx="2">
                  <v>914.726</v>
                </pt>
                <pt idx="3">
                  <v>914.183</v>
                </pt>
                <pt idx="4">
                  <v>917.978</v>
                </pt>
                <pt idx="5">
                  <v>776.258</v>
                </pt>
                <pt idx="6">
                  <v>749.982</v>
                </pt>
                <pt idx="7">
                  <v>1099.804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10333200"/>
        <axId val="1910165200"/>
      </lineChart>
      <catAx>
        <axId val="191033320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10165200"/>
        <crosses val="autoZero"/>
        <auto val="1"/>
        <lblAlgn val="ctr"/>
        <lblOffset val="100"/>
        <noMultiLvlLbl val="0"/>
      </catAx>
      <valAx>
        <axId val="1910165200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910333200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6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gender!$C$8</f>
              <strCache>
                <ptCount val="1"/>
                <pt idx="0">
                  <v>Last Year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75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gender!$D$5:$K$5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gender!$D$8:$K$8</f>
              <numCache>
                <formatCode>#,##0</formatCode>
                <ptCount val="8"/>
                <pt idx="0">
                  <v>104.428</v>
                </pt>
                <pt idx="1">
                  <v>76.173</v>
                </pt>
                <pt idx="2">
                  <v>51.808</v>
                </pt>
                <pt idx="3">
                  <v>85.794</v>
                </pt>
                <pt idx="4">
                  <v>48.309</v>
                </pt>
                <pt idx="5">
                  <v>35.637</v>
                </pt>
                <pt idx="6">
                  <v>39.267</v>
                </pt>
                <pt idx="7">
                  <v>53.632</v>
                </pt>
              </numCache>
            </numRef>
          </val>
          <smooth val="1"/>
        </ser>
        <ser>
          <idx val="1"/>
          <order val="1"/>
          <tx>
            <strRef>
              <f>gender!$C$9</f>
              <strCache>
                <ptCount val="1"/>
                <pt idx="0">
                  <v>Current Year</v>
                </pt>
              </strCache>
            </strRef>
          </tx>
          <spPr>
            <a:ln xmlns:a="http://schemas.openxmlformats.org/drawingml/2006/main"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gender!$D$5:$K$5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gender!$D$9:$K$9</f>
              <numCache>
                <formatCode>#,##0</formatCode>
                <ptCount val="8"/>
                <pt idx="0">
                  <v>56.249</v>
                </pt>
                <pt idx="1">
                  <v>42.133</v>
                </pt>
                <pt idx="2">
                  <v>25.081</v>
                </pt>
                <pt idx="3">
                  <v>42.548</v>
                </pt>
                <pt idx="4">
                  <v>64.255</v>
                </pt>
                <pt idx="5">
                  <v>47.167</v>
                </pt>
                <pt idx="6">
                  <v>48.191</v>
                </pt>
                <pt idx="7">
                  <v>70.328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10333200"/>
        <axId val="1910165200"/>
      </lineChart>
      <catAx>
        <axId val="191033320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1910165200"/>
        <crosses val="autoZero"/>
        <auto val="1"/>
        <lblAlgn val="ctr"/>
        <lblOffset val="100"/>
        <noMultiLvlLbl val="0"/>
      </catAx>
      <valAx>
        <axId val="1910165200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910333200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Home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men_category!$C$8</f>
              <strCache>
                <ptCount val="1"/>
                <pt idx="0">
                  <v>BOTTOMS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men_category!$E$8:$L$8</f>
              <numCache>
                <formatCode>#,##0</formatCode>
                <ptCount val="8"/>
                <pt idx="0">
                  <v>31.657</v>
                </pt>
                <pt idx="1">
                  <v>17.215</v>
                </pt>
                <pt idx="2">
                  <v>44.41</v>
                </pt>
                <pt idx="3">
                  <v>9.02</v>
                </pt>
                <pt idx="4">
                  <v>16.641</v>
                </pt>
                <pt idx="5">
                  <v>14.412</v>
                </pt>
                <pt idx="6">
                  <v>4.192</v>
                </pt>
                <pt idx="7">
                  <v>17.58</v>
                </pt>
              </numCache>
            </numRef>
          </val>
          <smooth val="1"/>
        </ser>
        <ser>
          <idx val="1"/>
          <order val="1"/>
          <tx>
            <strRef>
              <f>men_category!$C$9</f>
              <strCache>
                <ptCount val="1"/>
                <pt idx="0">
                  <v>BOTTOMS</v>
                </pt>
              </strCache>
            </strRef>
          </tx>
          <spPr>
            <a:ln xmlns:a="http://schemas.openxmlformats.org/drawingml/2006/main" w="3175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men_category!$E$9:$L$9</f>
              <numCache>
                <formatCode>#,##0</formatCode>
                <ptCount val="8"/>
                <pt idx="0">
                  <v>56.345</v>
                </pt>
                <pt idx="1">
                  <v>47.842</v>
                </pt>
                <pt idx="2">
                  <v>8.913</v>
                </pt>
                <pt idx="3">
                  <v>0.542</v>
                </pt>
                <pt idx="4">
                  <v>7.128</v>
                </pt>
                <pt idx="5">
                  <v>1.99</v>
                </pt>
                <pt idx="6">
                  <v>31.149</v>
                </pt>
                <pt idx="7">
                  <v>40.033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Mobilité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men_category!$C$8</f>
              <strCache>
                <ptCount val="1"/>
                <pt idx="0">
                  <v>BOTTOMS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men_category!$E$8:$L$8</f>
              <numCache>
                <formatCode>#,##0</formatCode>
                <ptCount val="8"/>
                <pt idx="0">
                  <v>31.657</v>
                </pt>
                <pt idx="1">
                  <v>17.215</v>
                </pt>
                <pt idx="2">
                  <v>44.41</v>
                </pt>
                <pt idx="3">
                  <v>9.02</v>
                </pt>
                <pt idx="4">
                  <v>16.641</v>
                </pt>
                <pt idx="5">
                  <v>14.412</v>
                </pt>
                <pt idx="6">
                  <v>4.192</v>
                </pt>
                <pt idx="7">
                  <v>17.58</v>
                </pt>
              </numCache>
            </numRef>
          </val>
          <smooth val="1"/>
        </ser>
        <ser>
          <idx val="1"/>
          <order val="1"/>
          <tx>
            <strRef>
              <f>men_category!$C$9</f>
              <strCache>
                <ptCount val="1"/>
                <pt idx="0">
                  <v>BOTTOMS</v>
                </pt>
              </strCache>
            </strRef>
          </tx>
          <spPr>
            <a:ln xmlns:a="http://schemas.openxmlformats.org/drawingml/2006/main"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men_category!$E$9:$L$9</f>
              <numCache>
                <formatCode>#,##0</formatCode>
                <ptCount val="8"/>
                <pt idx="0">
                  <v>56.345</v>
                </pt>
                <pt idx="1">
                  <v>47.842</v>
                </pt>
                <pt idx="2">
                  <v>8.913</v>
                </pt>
                <pt idx="3">
                  <v>0.542</v>
                </pt>
                <pt idx="4">
                  <v>7.128</v>
                </pt>
                <pt idx="5">
                  <v>1.99</v>
                </pt>
                <pt idx="6">
                  <v>31.149</v>
                </pt>
                <pt idx="7">
                  <v>40.033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Socks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men_category!$C$12</f>
              <strCache>
                <ptCount val="1"/>
                <pt idx="0">
                  <v>SOCKS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men_category!$E$12:$L$12</f>
              <numCache>
                <formatCode>#,##0</formatCode>
                <ptCount val="8"/>
                <pt idx="0">
                  <v>61.918</v>
                </pt>
                <pt idx="1">
                  <v>36.225</v>
                </pt>
                <pt idx="2">
                  <v>44.924</v>
                </pt>
                <pt idx="3">
                  <v>55.007</v>
                </pt>
                <pt idx="4">
                  <v>42.26</v>
                </pt>
                <pt idx="5">
                  <v>52.854</v>
                </pt>
                <pt idx="6">
                  <v>49.336</v>
                </pt>
                <pt idx="7">
                  <v>52.291</v>
                </pt>
              </numCache>
            </numRef>
          </val>
          <smooth val="1"/>
        </ser>
        <ser>
          <idx val="1"/>
          <order val="1"/>
          <tx>
            <strRef>
              <f>men_category!$C$13</f>
              <strCache>
                <ptCount val="1"/>
                <pt idx="0">
                  <v>SOCKS</v>
                </pt>
              </strCache>
            </strRef>
          </tx>
          <spPr>
            <a:ln xmlns:a="http://schemas.openxmlformats.org/drawingml/2006/main"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men_category!$E$13:$L$13</f>
              <numCache>
                <formatCode>#,##0</formatCode>
                <ptCount val="8"/>
                <pt idx="0">
                  <v>40.509</v>
                </pt>
                <pt idx="1">
                  <v>65.042</v>
                </pt>
                <pt idx="2">
                  <v>53.06</v>
                </pt>
                <pt idx="3">
                  <v>39.66</v>
                </pt>
                <pt idx="4">
                  <v>67.35599999999999</v>
                </pt>
                <pt idx="5">
                  <v>48.046</v>
                </pt>
                <pt idx="6">
                  <v>48.506</v>
                </pt>
                <pt idx="7">
                  <v>50.057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Pool &amp; Swim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men_category!$C$14</f>
              <strCache>
                <ptCount val="1"/>
                <pt idx="0">
                  <v>SWIM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men_category!$E$14:$L$14</f>
              <numCache>
                <formatCode>#,##0</formatCode>
                <ptCount val="8"/>
                <pt idx="0">
                  <v>327.965</v>
                </pt>
                <pt idx="1">
                  <v>243.213</v>
                </pt>
                <pt idx="2">
                  <v>160.616</v>
                </pt>
                <pt idx="3">
                  <v>68.392</v>
                </pt>
                <pt idx="4">
                  <v>59.637</v>
                </pt>
                <pt idx="5">
                  <v>41.672</v>
                </pt>
                <pt idx="6">
                  <v>48.004</v>
                </pt>
                <pt idx="7">
                  <v>38.311</v>
                </pt>
              </numCache>
            </numRef>
          </val>
          <smooth val="1"/>
        </ser>
        <ser>
          <idx val="1"/>
          <order val="1"/>
          <tx>
            <strRef>
              <f>men_category!$C$15</f>
              <strCache>
                <ptCount val="1"/>
                <pt idx="0">
                  <v>SWIM</v>
                </pt>
              </strCache>
            </strRef>
          </tx>
          <spPr>
            <a:ln xmlns:a="http://schemas.openxmlformats.org/drawingml/2006/main"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wrap="square" lIns="38100" tIns="19050" rIns="38100" bIns="19050" anchor="ctr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/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men_category!$E$15:$L$15</f>
              <numCache>
                <formatCode>#,##0</formatCode>
                <ptCount val="8"/>
                <pt idx="0">
                  <v>245.459</v>
                </pt>
                <pt idx="1">
                  <v>202.528</v>
                </pt>
                <pt idx="2">
                  <v>86.496</v>
                </pt>
                <pt idx="3">
                  <v>62.217</v>
                </pt>
                <pt idx="4">
                  <v>38.437</v>
                </pt>
                <pt idx="5">
                  <v>36.127</v>
                </pt>
                <pt idx="6">
                  <v>22.028</v>
                </pt>
                <pt idx="7">
                  <v>20.614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Tops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men_category!$C$16</f>
              <strCache>
                <ptCount val="1"/>
                <pt idx="0">
                  <v>TOPS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men_category!$E$16:$L$16</f>
              <numCache>
                <formatCode>#,##0</formatCode>
                <ptCount val="8"/>
                <pt idx="0">
                  <v>310.031</v>
                </pt>
                <pt idx="1">
                  <v>261.838</v>
                </pt>
                <pt idx="2">
                  <v>270.108</v>
                </pt>
                <pt idx="3">
                  <v>290.741</v>
                </pt>
                <pt idx="4">
                  <v>226.664</v>
                </pt>
                <pt idx="5">
                  <v>224.597</v>
                </pt>
                <pt idx="6">
                  <v>169.121</v>
                </pt>
                <pt idx="7">
                  <v>209.433</v>
                </pt>
              </numCache>
            </numRef>
          </val>
          <smooth val="1"/>
        </ser>
        <ser>
          <idx val="1"/>
          <order val="1"/>
          <tx>
            <strRef>
              <f>men_category!$C$17</f>
              <strCache>
                <ptCount val="1"/>
                <pt idx="0">
                  <v>TOPS</v>
                </pt>
              </strCache>
            </strRef>
          </tx>
          <spPr>
            <a:ln xmlns:a="http://schemas.openxmlformats.org/drawingml/2006/main"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men_category!$E$17:$L$17</f>
              <numCache>
                <formatCode>#,##0</formatCode>
                <ptCount val="8"/>
                <pt idx="0">
                  <v>350.018</v>
                </pt>
                <pt idx="1">
                  <v>292.149</v>
                </pt>
                <pt idx="2">
                  <v>225.872</v>
                </pt>
                <pt idx="3">
                  <v>308.121</v>
                </pt>
                <pt idx="4">
                  <v>306.083</v>
                </pt>
                <pt idx="5">
                  <v>248.58</v>
                </pt>
                <pt idx="6">
                  <v>246.999</v>
                </pt>
                <pt idx="7">
                  <v>326.894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Underwear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870603674540682"/>
          <w val="0.9388888888888889"/>
          <h val="0.608688393117527"/>
        </manualLayout>
      </layout>
      <lineChart>
        <grouping val="standard"/>
        <varyColors val="0"/>
        <ser>
          <idx val="0"/>
          <order val="0"/>
          <tx>
            <strRef>
              <f>men_category!$C$18</f>
              <strCache>
                <ptCount val="1"/>
                <pt idx="0">
                  <v>UNDERWEAR</v>
                </pt>
              </strCache>
            </strRef>
          </tx>
          <spPr>
            <a:ln xmlns:a="http://schemas.openxmlformats.org/drawingml/2006/main"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men_category!$E$18:$L$18</f>
              <numCache>
                <formatCode>#,##0</formatCode>
                <ptCount val="8"/>
                <pt idx="0">
                  <v>440.315</v>
                </pt>
                <pt idx="1">
                  <v>513.466</v>
                </pt>
                <pt idx="2">
                  <v>643.431</v>
                </pt>
                <pt idx="3">
                  <v>541.932</v>
                </pt>
                <pt idx="4">
                  <v>435.736</v>
                </pt>
                <pt idx="5">
                  <v>526.9880000000001</v>
                </pt>
                <pt idx="6">
                  <v>520.465</v>
                </pt>
                <pt idx="7">
                  <v>512.556</v>
                </pt>
              </numCache>
            </numRef>
          </val>
          <smooth val="1"/>
        </ser>
        <ser>
          <idx val="1"/>
          <order val="1"/>
          <tx>
            <strRef>
              <f>men_category!$C$19</f>
              <strCache>
                <ptCount val="1"/>
                <pt idx="0">
                  <v>UNDERWEAR</v>
                </pt>
              </strCache>
            </strRef>
          </tx>
          <spPr>
            <a:ln xmlns:a="http://schemas.openxmlformats.org/drawingml/2006/main"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men_category!$E$19:$L$19</f>
              <numCache>
                <formatCode>#,##0</formatCode>
                <ptCount val="8"/>
                <pt idx="0">
                  <v>578.0549999999999</v>
                </pt>
                <pt idx="1">
                  <v>627.042</v>
                </pt>
                <pt idx="2">
                  <v>517.888</v>
                </pt>
                <pt idx="3">
                  <v>488.787</v>
                </pt>
                <pt idx="4">
                  <v>476.751</v>
                </pt>
                <pt idx="5">
                  <v>428.891</v>
                </pt>
                <pt idx="6">
                  <v>380.228</v>
                </pt>
                <pt idx="7">
                  <v>642.86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65408"/>
        <axId val="233249375"/>
      </lineChart>
      <catAx>
        <axId val="165876540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33249375"/>
        <crosses val="autoZero"/>
        <auto val="1"/>
        <lblAlgn val="ctr"/>
        <lblOffset val="100"/>
        <noMultiLvlLbl val="0"/>
      </catAx>
      <valAx>
        <axId val="233249375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1658765408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Underwear</a:t>
            </a:r>
            <a:endParaRPr lang="sv-SE" b="0">
              <a:latin typeface="Franklin Gothic Medium" panose="020B060302010202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women_category!$A$14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women_category!$E$14:$L$14</f>
              <numCache>
                <formatCode>#,##0</formatCode>
                <ptCount val="8"/>
                <pt idx="0">
                  <v>14.814</v>
                </pt>
                <pt idx="1">
                  <v>16.143</v>
                </pt>
                <pt idx="2">
                  <v>11.095</v>
                </pt>
                <pt idx="3">
                  <v>3.607</v>
                </pt>
                <pt idx="4">
                  <v>14.342</v>
                </pt>
                <pt idx="5">
                  <v>11.598</v>
                </pt>
                <pt idx="6">
                  <v>14.029</v>
                </pt>
                <pt idx="7">
                  <v>16.979</v>
                </pt>
              </numCache>
            </numRef>
          </val>
          <smooth val="1"/>
        </ser>
        <ser>
          <idx val="1"/>
          <order val="1"/>
          <tx>
            <strRef>
              <f>women_category!$A$15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women_category!$E$15:$L$15</f>
              <numCache>
                <formatCode>#,##0</formatCode>
                <ptCount val="8"/>
                <pt idx="0">
                  <v>13.488</v>
                </pt>
                <pt idx="1">
                  <v>17.796</v>
                </pt>
                <pt idx="2">
                  <v>4.248</v>
                </pt>
                <pt idx="3">
                  <v>17.435</v>
                </pt>
                <pt idx="4">
                  <v>19.543</v>
                </pt>
                <pt idx="5">
                  <v>14.294</v>
                </pt>
                <pt idx="6">
                  <v>10.103</v>
                </pt>
                <pt idx="7">
                  <v>23.33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12381712"/>
        <axId val="258743567"/>
      </lineChart>
      <catAx>
        <axId val="81238171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58743567"/>
        <crosses val="autoZero"/>
        <auto val="1"/>
        <lblAlgn val="ctr"/>
        <lblOffset val="100"/>
        <noMultiLvlLbl val="0"/>
      </catAx>
      <valAx>
        <axId val="258743567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81238171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Tops</a:t>
            </a:r>
            <a:endParaRPr lang="sv-SE" b="0">
              <a:latin typeface="Franklin Gothic Medium" panose="020B060302010202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women_category!$A$11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women_category!$E$11:$L$11</f>
              <numCache>
                <formatCode>#,##0</formatCode>
                <ptCount val="8"/>
                <pt idx="0">
                  <v>14.758</v>
                </pt>
                <pt idx="1">
                  <v>29.496</v>
                </pt>
                <pt idx="2">
                  <v>21.132</v>
                </pt>
                <pt idx="3">
                  <v>12.922</v>
                </pt>
                <pt idx="4">
                  <v>22.723</v>
                </pt>
                <pt idx="5">
                  <v>20.81</v>
                </pt>
                <pt idx="6">
                  <v>21.59</v>
                </pt>
                <pt idx="7">
                  <v>22.696</v>
                </pt>
              </numCache>
            </numRef>
          </val>
          <smooth val="1"/>
        </ser>
        <ser>
          <idx val="1"/>
          <order val="1"/>
          <tx>
            <strRef>
              <f>women_category!$A$12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women_category!$E$12:$L$12</f>
              <numCache>
                <formatCode>#,##0</formatCode>
                <ptCount val="8"/>
                <pt idx="0">
                  <v>33.207</v>
                </pt>
                <pt idx="1">
                  <v>16.049</v>
                </pt>
                <pt idx="2">
                  <v>9.455</v>
                </pt>
                <pt idx="3">
                  <v>0.793</v>
                </pt>
                <pt idx="4">
                  <v>4.44</v>
                </pt>
                <pt idx="5">
                  <v>1.41</v>
                </pt>
                <pt idx="6">
                  <v>2.091</v>
                </pt>
                <pt idx="7">
                  <v>0.609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12381712"/>
        <axId val="258743567"/>
      </lineChart>
      <catAx>
        <axId val="81238171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58743567"/>
        <crosses val="autoZero"/>
        <auto val="1"/>
        <lblAlgn val="ctr"/>
        <lblOffset val="100"/>
        <noMultiLvlLbl val="0"/>
      </catAx>
      <valAx>
        <axId val="258743567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81238171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Socks</a:t>
            </a:r>
            <a:endParaRPr lang="sv-SE" b="0">
              <a:latin typeface="Franklin Gothic Medium" panose="020B060302010202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women_category!$A$8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women_category!$E$8:$L$8</f>
              <numCache>
                <formatCode>#,##0</formatCode>
                <ptCount val="8"/>
                <pt idx="0">
                  <v>0</v>
                </pt>
                <pt idx="1">
                  <v>1.548</v>
                </pt>
                <pt idx="2">
                  <v>1.818</v>
                </pt>
                <pt idx="3">
                  <v>3.01</v>
                </pt>
                <pt idx="4">
                  <v>1.43</v>
                </pt>
                <pt idx="5">
                  <v>0</v>
                </pt>
                <pt idx="6">
                  <v>0</v>
                </pt>
                <pt idx="7">
                  <v>1.315</v>
                </pt>
              </numCache>
            </numRef>
          </val>
          <smooth val="1"/>
        </ser>
        <ser>
          <idx val="1"/>
          <order val="1"/>
          <tx>
            <strRef>
              <f>women_category!$A$9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women_category!$E$9:$L$9</f>
              <numCache>
                <formatCode>#,##0</formatCode>
                <ptCount val="8"/>
                <pt idx="0">
                  <v>1.029</v>
                </pt>
                <pt idx="1">
                  <v>1.198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1.472</v>
                </pt>
                <pt idx="6">
                  <v>0</v>
                </pt>
                <pt idx="7">
                  <v>0.017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12381712"/>
        <axId val="258743567"/>
      </lineChart>
      <catAx>
        <axId val="81238171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58743567"/>
        <crosses val="autoZero"/>
        <auto val="1"/>
        <lblAlgn val="ctr"/>
        <lblOffset val="100"/>
        <noMultiLvlLbl val="0"/>
      </catAx>
      <valAx>
        <axId val="258743567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81238171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Home</a:t>
            </a:r>
            <a:endParaRPr lang="sv-SE" b="0">
              <a:latin typeface="Franklin Gothic Medium" panose="020B060302010202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women_category!$A$6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women_category!$E$6:$L$6</f>
              <numCache>
                <formatCode>#,##0</formatCode>
                <ptCount val="8"/>
                <pt idx="0">
                  <v>1.4</v>
                </pt>
                <pt idx="1">
                  <v>6.47</v>
                </pt>
                <pt idx="2">
                  <v>0</v>
                </pt>
                <pt idx="3">
                  <v>1.791</v>
                </pt>
                <pt idx="4">
                  <v>1.353</v>
                </pt>
                <pt idx="5">
                  <v>0</v>
                </pt>
                <pt idx="6">
                  <v>0</v>
                </pt>
                <pt idx="7">
                  <v>1.773</v>
                </pt>
              </numCache>
            </numRef>
          </val>
          <smooth val="1"/>
        </ser>
        <ser>
          <idx val="1"/>
          <order val="1"/>
          <tx>
            <strRef>
              <f>women_category!$A$7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women_category!$E$7:$L$7</f>
              <numCache>
                <formatCode>#,##0</formatCode>
                <ptCount val="8"/>
                <pt idx="0">
                  <v>4.709</v>
                </pt>
                <pt idx="1">
                  <v>5.699</v>
                </pt>
                <pt idx="2">
                  <v>1.095</v>
                </pt>
                <pt idx="3">
                  <v>0.981</v>
                </pt>
                <pt idx="4">
                  <v>1.28</v>
                </pt>
                <pt idx="5">
                  <v>1.869</v>
                </pt>
                <pt idx="6">
                  <v>2.979</v>
                </pt>
                <pt idx="7">
                  <v>12.459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12381712"/>
        <axId val="258743567"/>
      </lineChart>
      <catAx>
        <axId val="81238171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58743567"/>
        <crosses val="autoZero"/>
        <auto val="1"/>
        <lblAlgn val="ctr"/>
        <lblOffset val="100"/>
        <noMultiLvlLbl val="0"/>
      </catAx>
      <valAx>
        <axId val="258743567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81238171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Pool &amp; Swim</a:t>
            </a:r>
            <a:endParaRPr lang="sv-SE" b="0">
              <a:latin typeface="Franklin Gothic Medium" panose="020B060302010202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women_category!$A$10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ysDot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women_category!$E$10:$L$10</f>
              <numCache>
                <formatCode>#,##0</formatCode>
                <ptCount val="8"/>
                <pt idx="0">
                  <v>18.398</v>
                </pt>
                <pt idx="1">
                  <v>12.094</v>
                </pt>
                <pt idx="2">
                  <v>16.171</v>
                </pt>
                <pt idx="3">
                  <v>16.657</v>
                </pt>
                <pt idx="4">
                  <v>22.77</v>
                </pt>
                <pt idx="5">
                  <v>20.725</v>
                </pt>
                <pt idx="6">
                  <v>18.838</v>
                </pt>
                <pt idx="7">
                  <v>14.099</v>
                </pt>
              </numCache>
            </numRef>
          </val>
          <smooth val="1"/>
        </ser>
        <ser>
          <idx val="1"/>
          <order val="1"/>
          <tx>
            <strRef>
              <f>women_category!$A$11</f>
              <strCache>
                <ptCount val="1"/>
              </strCache>
            </strRef>
          </tx>
          <spPr>
            <a:ln xmlns:a="http://schemas.openxmlformats.org/drawingml/2006/main" w="28575" cap="rnd">
              <a:solidFill>
                <a:schemeClr val="tx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sv-SE"/>
              </a:p>
            </txPr>
            <dLblPos val="t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women_category!$E$5:$L$5</f>
              <strCache>
                <ptCount val="8"/>
                <pt idx="0">
                  <v>32</v>
                </pt>
                <pt idx="1">
                  <v>33</v>
                </pt>
                <pt idx="2">
                  <v>34</v>
                </pt>
                <pt idx="3">
                  <v>35</v>
                </pt>
                <pt idx="4">
                  <v>36</v>
                </pt>
                <pt idx="5">
                  <v>37</v>
                </pt>
                <pt idx="6">
                  <v>38</v>
                </pt>
                <pt idx="7">
                  <v>39</v>
                </pt>
              </strCache>
            </strRef>
          </cat>
          <val>
            <numRef>
              <f>women_category!$E$11:$L$11</f>
              <numCache>
                <formatCode>#,##0</formatCode>
                <ptCount val="8"/>
                <pt idx="0">
                  <v>14.758</v>
                </pt>
                <pt idx="1">
                  <v>29.496</v>
                </pt>
                <pt idx="2">
                  <v>21.132</v>
                </pt>
                <pt idx="3">
                  <v>12.922</v>
                </pt>
                <pt idx="4">
                  <v>22.723</v>
                </pt>
                <pt idx="5">
                  <v>20.81</v>
                </pt>
                <pt idx="6">
                  <v>21.59</v>
                </pt>
                <pt idx="7">
                  <v>22.696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12381712"/>
        <axId val="258743567"/>
      </lineChart>
      <catAx>
        <axId val="81238171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sv-SE"/>
          </a:p>
        </txPr>
        <crossAx val="258743567"/>
        <crosses val="autoZero"/>
        <auto val="1"/>
        <lblAlgn val="ctr"/>
        <lblOffset val="100"/>
        <noMultiLvlLbl val="0"/>
      </catAx>
      <valAx>
        <axId val="258743567"/>
        <scaling>
          <orientation val="minMax"/>
        </scaling>
        <delete val="1"/>
        <axPos val="l"/>
        <numFmt formatCode="#,##0" sourceLinked="1"/>
        <majorTickMark val="none"/>
        <minorTickMark val="none"/>
        <tickLblPos val="nextTo"/>
        <crossAx val="812381712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Relationship Type="http://schemas.openxmlformats.org/officeDocument/2006/relationships/chart" Target="/xl/charts/chart14.xml" Id="rId5"/></Relationships>
</file>

<file path=xl/drawings/_rels/drawing3.xml.rels><Relationships xmlns="http://schemas.openxmlformats.org/package/2006/relationships"><Relationship Type="http://schemas.openxmlformats.org/officeDocument/2006/relationships/chart" Target="/xl/charts/chart15.xml" Id="rId1"/><Relationship Type="http://schemas.openxmlformats.org/officeDocument/2006/relationships/chart" Target="/xl/charts/chart1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7.xml" Id="rId1"/><Relationship Type="http://schemas.openxmlformats.org/officeDocument/2006/relationships/chart" Target="/xl/charts/chart18.xml" Id="rId2"/><Relationship Type="http://schemas.openxmlformats.org/officeDocument/2006/relationships/chart" Target="/xl/charts/chart19.xml" Id="rId3"/><Relationship Type="http://schemas.openxmlformats.org/officeDocument/2006/relationships/chart" Target="/xl/charts/chart20.xml" Id="rId4"/><Relationship Type="http://schemas.openxmlformats.org/officeDocument/2006/relationships/chart" Target="/xl/charts/chart21.xml" Id="rId5"/><Relationship Type="http://schemas.openxmlformats.org/officeDocument/2006/relationships/chart" Target="/xl/charts/chart22.xml" Id="rId6"/></Relationships>
</file>

<file path=xl/drawings/_rels/drawing5.xml.rels><Relationships xmlns="http://schemas.openxmlformats.org/package/2006/relationships"><Relationship Type="http://schemas.openxmlformats.org/officeDocument/2006/relationships/chart" Target="/xl/charts/chart23.xml" Id="rId1"/><Relationship Type="http://schemas.openxmlformats.org/officeDocument/2006/relationships/chart" Target="/xl/charts/chart24.xml" Id="rId2"/><Relationship Type="http://schemas.openxmlformats.org/officeDocument/2006/relationships/chart" Target="/xl/charts/chart25.xml" Id="rId3"/><Relationship Type="http://schemas.openxmlformats.org/officeDocument/2006/relationships/chart" Target="/xl/charts/chart26.xml" Id="rId4"/><Relationship Type="http://schemas.openxmlformats.org/officeDocument/2006/relationships/chart" Target="/xl/charts/chart27.xml" Id="rId5"/></Relationships>
</file>

<file path=xl/drawings/drawing1.xml><?xml version="1.0" encoding="utf-8"?>
<wsDr xmlns="http://schemas.openxmlformats.org/drawingml/2006/spreadsheetDrawing">
  <twoCellAnchor>
    <from>
      <col>12</col>
      <colOff>466912</colOff>
      <row>1</row>
      <rowOff>0</rowOff>
    </from>
    <to>
      <col>18</col>
      <colOff>385609</colOff>
      <row>11</row>
      <rowOff>38815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74706</colOff>
      <row>1</row>
      <rowOff>0</rowOff>
    </from>
    <to>
      <col>24</col>
      <colOff>665756</colOff>
      <row>11</row>
      <rowOff>38815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25</col>
      <colOff>317500</colOff>
      <row>0</row>
      <rowOff>168089</rowOff>
    </from>
    <to>
      <col>31</col>
      <colOff>236198</colOff>
      <row>11</row>
      <rowOff>1463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485589</colOff>
      <row>12</row>
      <rowOff>74706</rowOff>
    </from>
    <to>
      <col>18</col>
      <colOff>404286</colOff>
      <row>22</row>
      <rowOff>113521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19</col>
      <colOff>37353</colOff>
      <row>12</row>
      <rowOff>74706</rowOff>
    </from>
    <to>
      <col>24</col>
      <colOff>628403</colOff>
      <row>22</row>
      <rowOff>113521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25</col>
      <colOff>336176</colOff>
      <row>12</row>
      <rowOff>93382</rowOff>
    </from>
    <to>
      <col>31</col>
      <colOff>254874</colOff>
      <row>22</row>
      <rowOff>132197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12</col>
      <colOff>504265</colOff>
      <row>23</row>
      <rowOff>112059</rowOff>
    </from>
    <to>
      <col>18</col>
      <colOff>422962</colOff>
      <row>33</row>
      <rowOff>150874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19</col>
      <colOff>18677</colOff>
      <row>23</row>
      <rowOff>93383</rowOff>
    </from>
    <to>
      <col>24</col>
      <colOff>609727</colOff>
      <row>33</row>
      <rowOff>132198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25</col>
      <colOff>336177</colOff>
      <row>23</row>
      <rowOff>93382</rowOff>
    </from>
    <to>
      <col>31</col>
      <colOff>254875</colOff>
      <row>33</row>
      <rowOff>132197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1217768</colOff>
      <row>17</row>
      <rowOff>24103</rowOff>
    </from>
    <to>
      <col>11</col>
      <colOff>382367</colOff>
      <row>28</row>
      <rowOff>27311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1215376</colOff>
      <row>28</row>
      <rowOff>150215</rowOff>
    </from>
    <to>
      <col>11</col>
      <colOff>379975</colOff>
      <row>39</row>
      <rowOff>153423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12</col>
      <colOff>0</colOff>
      <row>21</row>
      <rowOff>0</rowOff>
    </from>
    <to>
      <col>17</col>
      <colOff>612126</colOff>
      <row>32</row>
      <rowOff>3208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3</col>
      <colOff>122903</colOff>
      <row>17</row>
      <rowOff>68279</rowOff>
    </from>
    <to>
      <col>5</col>
      <colOff>1021803</colOff>
      <row>28</row>
      <rowOff>71487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150215</colOff>
      <row>29</row>
      <rowOff>13656</rowOff>
    </from>
    <to>
      <col>5</col>
      <colOff>1049115</colOff>
      <row>40</row>
      <rowOff>16865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1352550</colOff>
      <row>11</row>
      <rowOff>69850</rowOff>
    </from>
    <to>
      <col>6</col>
      <colOff>768350</colOff>
      <row>29</row>
      <rowOff>25400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7</col>
      <colOff>266700</colOff>
      <row>11</row>
      <rowOff>38100</rowOff>
    </from>
    <to>
      <col>12</col>
      <colOff>711200</colOff>
      <row>28</row>
      <rowOff>196850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33</col>
      <colOff>303960</colOff>
      <row>0</row>
      <rowOff>176217</rowOff>
    </from>
    <to>
      <col>40</col>
      <colOff>164260</colOff>
      <row>14</row>
      <rowOff>79528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82551</colOff>
      <row>16</row>
      <rowOff>1133</rowOff>
    </from>
    <to>
      <col>25</col>
      <colOff>616105</colOff>
      <row>29</row>
      <rowOff>103360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33</col>
      <colOff>310557</colOff>
      <row>15</row>
      <rowOff>139223</rowOff>
    </from>
    <to>
      <col>40</col>
      <colOff>170857</colOff>
      <row>29</row>
      <rowOff>42535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26</col>
      <colOff>219506</colOff>
      <row>15</row>
      <rowOff>124300</rowOff>
    </from>
    <to>
      <col>33</col>
      <colOff>79807</colOff>
      <row>29</row>
      <rowOff>27612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26</col>
      <colOff>253887</colOff>
      <row>1</row>
      <rowOff>17945</rowOff>
    </from>
    <to>
      <col>33</col>
      <colOff>114187</colOff>
      <row>14</row>
      <rowOff>115260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19</col>
      <colOff>129210</colOff>
      <row>1</row>
      <rowOff>0</rowOff>
    </from>
    <to>
      <col>25</col>
      <colOff>662764</colOff>
      <row>14</row>
      <rowOff>97316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18</col>
      <colOff>5035</colOff>
      <row>0</row>
      <rowOff>410356</rowOff>
    </from>
    <to>
      <col>23</col>
      <colOff>451008</colOff>
      <row>14</row>
      <rowOff>73332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23</col>
      <colOff>655562</colOff>
      <row>0</row>
      <rowOff>232228</rowOff>
    </from>
    <to>
      <col>29</col>
      <colOff>258497</colOff>
      <row>14</row>
      <rowOff>131364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373442</colOff>
      <row>0</row>
      <rowOff>169938</rowOff>
    </from>
    <to>
      <col>34</col>
      <colOff>806111</colOff>
      <row>14</row>
      <rowOff>69074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136071</colOff>
      <row>16</row>
      <rowOff>181429</rowOff>
    </from>
    <to>
      <col>21</col>
      <colOff>568739</colOff>
      <row>30</row>
      <rowOff>80565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22</col>
      <colOff>321734</colOff>
      <row>17</row>
      <rowOff>0</rowOff>
    </from>
    <to>
      <col>27</col>
      <colOff>754402</colOff>
      <row>30</row>
      <rowOff>102336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S23"/>
  <sheetViews>
    <sheetView zoomScale="75" workbookViewId="0">
      <selection activeCell="A1" sqref="A1:S20"/>
    </sheetView>
  </sheetViews>
  <sheetFormatPr baseColWidth="10" defaultRowHeight="16"/>
  <cols>
    <col width="23.1640625" customWidth="1" style="116" min="1" max="1"/>
    <col width="12" customWidth="1" style="116" min="2" max="2"/>
    <col width="12.1640625" bestFit="1" customWidth="1" style="116" min="3" max="3"/>
  </cols>
  <sheetData>
    <row r="1" ht="30" customHeight="1" s="116">
      <c r="A1" s="1" t="n"/>
      <c r="B1" s="1" t="n"/>
      <c r="C1" s="22" t="n"/>
      <c r="D1" s="23" t="n"/>
      <c r="E1" s="23" t="n"/>
      <c r="F1" s="23" t="n"/>
      <c r="G1" s="23" t="n"/>
      <c r="H1" s="23" t="n"/>
      <c r="I1" s="23" t="n"/>
      <c r="J1" s="23" t="n"/>
      <c r="K1" s="24" t="n"/>
      <c r="L1" s="2" t="n"/>
      <c r="M1" s="38" t="n"/>
      <c r="N1" s="38" t="n"/>
      <c r="O1" s="38" t="n"/>
      <c r="P1" s="38" t="n"/>
      <c r="Q1" s="38" t="n"/>
      <c r="R1" s="39" t="n"/>
      <c r="S1" s="40" t="n"/>
    </row>
    <row r="2" ht="30" customHeight="1" s="116">
      <c r="A2" s="3" t="n"/>
      <c r="B2" s="4" t="n"/>
      <c r="C2" s="25" t="inlineStr">
        <is>
          <t>Sep 22nd - Sep 28th</t>
        </is>
      </c>
      <c r="D2" s="26" t="n"/>
      <c r="E2" s="26" t="n"/>
      <c r="F2" s="26" t="n"/>
      <c r="G2" s="26" t="n"/>
      <c r="H2" s="26" t="n"/>
      <c r="I2" s="26" t="n"/>
      <c r="J2" s="26" t="n"/>
      <c r="K2" s="27" t="n"/>
      <c r="L2" s="5" t="inlineStr">
        <is>
          <t>Year-to-date</t>
        </is>
      </c>
      <c r="M2" s="41" t="n"/>
      <c r="N2" s="41" t="n"/>
      <c r="O2" s="41" t="n"/>
      <c r="P2" s="41" t="n"/>
      <c r="Q2" s="41" t="n"/>
      <c r="R2" s="42" t="n"/>
      <c r="S2" s="43" t="n"/>
    </row>
    <row r="3" ht="30" customHeight="1" s="116">
      <c r="A3" s="4" t="n"/>
      <c r="B3" s="4" t="n"/>
      <c r="C3" s="6" t="n"/>
      <c r="D3" s="4" t="n"/>
      <c r="E3" s="7" t="n"/>
      <c r="F3" s="7" t="n"/>
      <c r="G3" s="7" t="n"/>
      <c r="H3" s="8" t="inlineStr">
        <is>
          <t>Growth vs.</t>
        </is>
      </c>
      <c r="I3" s="9" t="n"/>
      <c r="J3" s="8" t="n"/>
      <c r="K3" s="8" t="n"/>
      <c r="L3" s="10" t="n"/>
      <c r="M3" s="1" t="n"/>
      <c r="N3" s="7" t="n"/>
      <c r="O3" s="7" t="n"/>
      <c r="P3" s="8" t="inlineStr">
        <is>
          <t>Growth vs.</t>
        </is>
      </c>
      <c r="Q3" s="8" t="n"/>
      <c r="R3" s="8" t="n"/>
      <c r="S3" s="44" t="inlineStr">
        <is>
          <t>Budget</t>
        </is>
      </c>
    </row>
    <row r="4" ht="30" customHeight="1" s="116">
      <c r="A4" s="11" t="inlineStr">
        <is>
          <t>(SEK '000)</t>
        </is>
      </c>
      <c r="B4" s="4" t="n"/>
      <c r="C4" s="12" t="inlineStr">
        <is>
          <t>Actual</t>
        </is>
      </c>
      <c r="D4" s="13" t="inlineStr">
        <is>
          <t>Last Week</t>
        </is>
      </c>
      <c r="E4" s="8" t="inlineStr">
        <is>
          <t>LY</t>
        </is>
      </c>
      <c r="F4" s="14" t="inlineStr">
        <is>
          <t>2023</t>
        </is>
      </c>
      <c r="G4" s="13" t="inlineStr">
        <is>
          <t>Budget(1)</t>
        </is>
      </c>
      <c r="H4" s="14" t="inlineStr">
        <is>
          <t>Last Week</t>
        </is>
      </c>
      <c r="I4" s="8" t="inlineStr">
        <is>
          <t>LY</t>
        </is>
      </c>
      <c r="J4" s="14" t="inlineStr">
        <is>
          <t>2023</t>
        </is>
      </c>
      <c r="K4" s="13" t="inlineStr">
        <is>
          <t>Budget(1)</t>
        </is>
      </c>
      <c r="L4" s="12" t="inlineStr">
        <is>
          <t>September</t>
        </is>
      </c>
      <c r="M4" s="8" t="inlineStr">
        <is>
          <t>LY</t>
        </is>
      </c>
      <c r="N4" s="14" t="inlineStr">
        <is>
          <t>2023</t>
        </is>
      </c>
      <c r="O4" s="13" t="inlineStr">
        <is>
          <t>Budget(1)</t>
        </is>
      </c>
      <c r="P4" s="8" t="inlineStr">
        <is>
          <t>LY</t>
        </is>
      </c>
      <c r="Q4" s="14" t="inlineStr">
        <is>
          <t>2023</t>
        </is>
      </c>
      <c r="R4" s="13" t="inlineStr">
        <is>
          <t>Budget(1)</t>
        </is>
      </c>
      <c r="S4" s="45" t="inlineStr">
        <is>
          <t>vs. LY</t>
        </is>
      </c>
    </row>
    <row r="5" ht="30" customHeight="1" s="116">
      <c r="A5" s="16" t="inlineStr">
        <is>
          <t>Online Gross Revenue</t>
        </is>
      </c>
      <c r="B5" s="3" t="n"/>
      <c r="C5" s="20" t="inlineStr">
        <is>
          <t>1,170</t>
        </is>
      </c>
      <c r="D5" s="21" t="inlineStr">
        <is>
          <t>798</t>
        </is>
      </c>
      <c r="E5" s="21" t="inlineStr">
        <is>
          <t>889</t>
        </is>
      </c>
      <c r="F5" s="21" t="inlineStr">
        <is>
          <t>1,010</t>
        </is>
      </c>
      <c r="G5" s="21" t="n"/>
      <c r="H5" s="21" t="inlineStr">
        <is>
          <t>46.6%</t>
        </is>
      </c>
      <c r="I5" s="21" t="inlineStr">
        <is>
          <t>31.6%</t>
        </is>
      </c>
      <c r="J5" s="21" t="inlineStr">
        <is>
          <t>15.8%</t>
        </is>
      </c>
      <c r="K5" s="21" t="inlineStr">
        <is>
          <t>n/m</t>
        </is>
      </c>
      <c r="L5" s="20" t="inlineStr">
        <is>
          <t>34,216</t>
        </is>
      </c>
      <c r="M5" s="21" t="inlineStr">
        <is>
          <t>33,534</t>
        </is>
      </c>
      <c r="N5" s="21" t="inlineStr">
        <is>
          <t>41,078</t>
        </is>
      </c>
      <c r="O5" s="21" t="inlineStr">
        <is>
          <t>-</t>
        </is>
      </c>
      <c r="P5" s="21" t="inlineStr">
        <is>
          <t>2.0%</t>
        </is>
      </c>
      <c r="Q5" s="21" t="inlineStr">
        <is>
          <t>(16.7%)</t>
        </is>
      </c>
      <c r="R5" s="21" t="inlineStr">
        <is>
          <t>-</t>
        </is>
      </c>
      <c r="S5" s="46" t="inlineStr">
        <is>
          <t>-</t>
        </is>
      </c>
    </row>
    <row r="6" ht="30" customHeight="1" s="116">
      <c r="A6" s="15" t="inlineStr">
        <is>
          <t>Returns</t>
        </is>
      </c>
      <c r="B6" s="4" t="n"/>
      <c r="C6" s="20" t="inlineStr">
        <is>
          <t>48</t>
        </is>
      </c>
      <c r="D6" s="21" t="inlineStr">
        <is>
          <t>75</t>
        </is>
      </c>
      <c r="E6" s="21" t="inlineStr">
        <is>
          <t>49</t>
        </is>
      </c>
      <c r="F6" s="21" t="inlineStr">
        <is>
          <t>98</t>
        </is>
      </c>
      <c r="G6" s="21" t="n"/>
      <c r="H6" s="21" t="inlineStr">
        <is>
          <t>(35.7%)</t>
        </is>
      </c>
      <c r="I6" s="21" t="inlineStr">
        <is>
          <t>(3.0%)</t>
        </is>
      </c>
      <c r="J6" s="21" t="inlineStr">
        <is>
          <t>(51.0%)</t>
        </is>
      </c>
      <c r="K6" s="21" t="inlineStr">
        <is>
          <t>n/m</t>
        </is>
      </c>
      <c r="L6" s="20" t="inlineStr">
        <is>
          <t>2,726</t>
        </is>
      </c>
      <c r="M6" s="21" t="inlineStr">
        <is>
          <t>3,261</t>
        </is>
      </c>
      <c r="N6" s="21" t="inlineStr">
        <is>
          <t>5,325</t>
        </is>
      </c>
      <c r="O6" s="21" t="inlineStr">
        <is>
          <t>-</t>
        </is>
      </c>
      <c r="P6" s="21" t="inlineStr">
        <is>
          <t>(16.4%)</t>
        </is>
      </c>
      <c r="Q6" s="21" t="inlineStr">
        <is>
          <t>(48.8%)</t>
        </is>
      </c>
      <c r="R6" s="21" t="inlineStr">
        <is>
          <t>-</t>
        </is>
      </c>
      <c r="S6" s="46" t="inlineStr">
        <is>
          <t>-</t>
        </is>
      </c>
    </row>
    <row r="7" ht="30" customFormat="1" customHeight="1" s="32">
      <c r="A7" s="28" t="inlineStr">
        <is>
          <t>Return Rate %</t>
        </is>
      </c>
      <c r="B7" s="29" t="n"/>
      <c r="C7" s="30" t="inlineStr">
        <is>
          <t>4.1 %</t>
        </is>
      </c>
      <c r="D7" s="31" t="inlineStr">
        <is>
          <t>9.4 %</t>
        </is>
      </c>
      <c r="E7" s="31" t="inlineStr">
        <is>
          <t>5.6 %</t>
        </is>
      </c>
      <c r="F7" s="31" t="inlineStr">
        <is>
          <t>9.7 %</t>
        </is>
      </c>
      <c r="G7" s="31" t="n"/>
      <c r="H7" s="31" t="inlineStr">
        <is>
          <t>(56.4%)</t>
        </is>
      </c>
      <c r="I7" s="31" t="inlineStr">
        <is>
          <t>(26.8%)</t>
        </is>
      </c>
      <c r="J7" s="31" t="inlineStr">
        <is>
          <t>(57.7%)</t>
        </is>
      </c>
      <c r="K7" s="31" t="inlineStr">
        <is>
          <t>n/m</t>
        </is>
      </c>
      <c r="L7" s="30" t="inlineStr">
        <is>
          <t>8.0%</t>
        </is>
      </c>
      <c r="M7" s="31" t="inlineStr">
        <is>
          <t>9.7%</t>
        </is>
      </c>
      <c r="N7" s="31" t="inlineStr">
        <is>
          <t>13.0%</t>
        </is>
      </c>
      <c r="O7" s="31" t="inlineStr">
        <is>
          <t>-</t>
        </is>
      </c>
      <c r="P7" s="31" t="inlineStr">
        <is>
          <t>(17.5%)</t>
        </is>
      </c>
      <c r="Q7" s="31" t="inlineStr">
        <is>
          <t>(38.5%)</t>
        </is>
      </c>
      <c r="R7" s="31" t="inlineStr">
        <is>
          <t>-</t>
        </is>
      </c>
      <c r="S7" s="47" t="inlineStr">
        <is>
          <t>-</t>
        </is>
      </c>
    </row>
    <row r="8" ht="30" customHeight="1" s="116">
      <c r="A8" s="16" t="inlineStr">
        <is>
          <t>Online Net Revenue</t>
        </is>
      </c>
      <c r="B8" s="3" t="n"/>
      <c r="C8" s="20" t="inlineStr">
        <is>
          <t>1,122</t>
        </is>
      </c>
      <c r="D8" s="21" t="inlineStr">
        <is>
          <t>723</t>
        </is>
      </c>
      <c r="E8" s="21" t="inlineStr">
        <is>
          <t>840</t>
        </is>
      </c>
      <c r="F8" s="21" t="inlineStr">
        <is>
          <t>912</t>
        </is>
      </c>
      <c r="G8" s="21" t="n"/>
      <c r="H8" s="21" t="inlineStr">
        <is>
          <t>55.1%</t>
        </is>
      </c>
      <c r="I8" s="21" t="inlineStr">
        <is>
          <t>33.6%</t>
        </is>
      </c>
      <c r="J8" s="21" t="inlineStr">
        <is>
          <t>23.0%</t>
        </is>
      </c>
      <c r="K8" s="21" t="inlineStr">
        <is>
          <t>n/m</t>
        </is>
      </c>
      <c r="L8" s="20" t="inlineStr">
        <is>
          <t>31,490</t>
        </is>
      </c>
      <c r="M8" s="21" t="inlineStr">
        <is>
          <t>30,273</t>
        </is>
      </c>
      <c r="N8" s="21" t="inlineStr">
        <is>
          <t>35,752</t>
        </is>
      </c>
      <c r="O8" s="21" t="inlineStr">
        <is>
          <t>-</t>
        </is>
      </c>
      <c r="P8" s="21" t="inlineStr">
        <is>
          <t>4.0%</t>
        </is>
      </c>
      <c r="Q8" s="21" t="inlineStr">
        <is>
          <t>(11.9%)</t>
        </is>
      </c>
      <c r="R8" s="21" t="inlineStr">
        <is>
          <t>-</t>
        </is>
      </c>
      <c r="S8" s="46" t="inlineStr">
        <is>
          <t>-</t>
        </is>
      </c>
    </row>
    <row r="9" ht="30" customHeight="1" s="116">
      <c r="A9" s="15" t="inlineStr">
        <is>
          <t>Retail Concept Store</t>
        </is>
      </c>
      <c r="B9" s="3" t="n"/>
      <c r="C9" s="20" t="inlineStr">
        <is>
          <t>78</t>
        </is>
      </c>
      <c r="D9" s="21" t="inlineStr">
        <is>
          <t>54</t>
        </is>
      </c>
      <c r="E9" s="21" t="inlineStr">
        <is>
          <t>96</t>
        </is>
      </c>
      <c r="F9" s="21" t="inlineStr">
        <is>
          <t>88</t>
        </is>
      </c>
      <c r="G9" s="21" t="n"/>
      <c r="H9" s="21" t="inlineStr">
        <is>
          <t>44.5%</t>
        </is>
      </c>
      <c r="I9" s="21" t="inlineStr">
        <is>
          <t>(18.6%)</t>
        </is>
      </c>
      <c r="J9" s="21" t="inlineStr">
        <is>
          <t>(10.9%)</t>
        </is>
      </c>
      <c r="K9" s="21" t="inlineStr">
        <is>
          <t>n/m</t>
        </is>
      </c>
      <c r="L9" s="20" t="inlineStr">
        <is>
          <t>-</t>
        </is>
      </c>
      <c r="M9" s="21" t="inlineStr">
        <is>
          <t>-</t>
        </is>
      </c>
      <c r="N9" s="21" t="inlineStr">
        <is>
          <t>-</t>
        </is>
      </c>
      <c r="O9" s="21" t="inlineStr">
        <is>
          <t>-</t>
        </is>
      </c>
      <c r="P9" s="21" t="inlineStr">
        <is>
          <t>-</t>
        </is>
      </c>
      <c r="Q9" s="21" t="inlineStr">
        <is>
          <t>-</t>
        </is>
      </c>
      <c r="R9" s="21" t="inlineStr">
        <is>
          <t>-</t>
        </is>
      </c>
      <c r="S9" s="46" t="inlineStr">
        <is>
          <t>-</t>
        </is>
      </c>
    </row>
    <row r="10" ht="30" customFormat="1" customHeight="1" s="32">
      <c r="A10" s="33" t="inlineStr">
        <is>
          <t>Retail Pop-ups, Outlets</t>
        </is>
      </c>
      <c r="B10" s="34" t="n"/>
      <c r="C10" s="30" t="inlineStr">
        <is>
          <t>0</t>
        </is>
      </c>
      <c r="D10" s="31" t="inlineStr">
        <is>
          <t>0</t>
        </is>
      </c>
      <c r="E10" s="31" t="inlineStr">
        <is>
          <t>0</t>
        </is>
      </c>
      <c r="F10" s="31" t="inlineStr">
        <is>
          <t>0</t>
        </is>
      </c>
      <c r="G10" s="31" t="n"/>
      <c r="H10" s="31" t="inlineStr">
        <is>
          <t>0.0%</t>
        </is>
      </c>
      <c r="I10" s="31" t="inlineStr">
        <is>
          <t>0.0%</t>
        </is>
      </c>
      <c r="J10" s="31" t="inlineStr">
        <is>
          <t>0.0%</t>
        </is>
      </c>
      <c r="K10" s="31" t="inlineStr">
        <is>
          <t>n/m</t>
        </is>
      </c>
      <c r="L10" s="30" t="inlineStr">
        <is>
          <t>-</t>
        </is>
      </c>
      <c r="M10" s="31" t="inlineStr">
        <is>
          <t>-</t>
        </is>
      </c>
      <c r="N10" s="31" t="inlineStr">
        <is>
          <t>-</t>
        </is>
      </c>
      <c r="O10" s="31" t="inlineStr">
        <is>
          <t>-</t>
        </is>
      </c>
      <c r="P10" s="31" t="inlineStr">
        <is>
          <t>-</t>
        </is>
      </c>
      <c r="Q10" s="31" t="inlineStr">
        <is>
          <t>-</t>
        </is>
      </c>
      <c r="R10" s="31" t="inlineStr">
        <is>
          <t>-</t>
        </is>
      </c>
      <c r="S10" s="47" t="inlineStr">
        <is>
          <t>-</t>
        </is>
      </c>
    </row>
    <row r="11" ht="30" customHeight="1" s="116">
      <c r="A11" s="16" t="inlineStr">
        <is>
          <t>Retail Net Revenue</t>
        </is>
      </c>
      <c r="B11" s="3" t="n"/>
      <c r="C11" s="20" t="inlineStr">
        <is>
          <t>78</t>
        </is>
      </c>
      <c r="D11" s="21" t="inlineStr">
        <is>
          <t>54</t>
        </is>
      </c>
      <c r="E11" s="21" t="inlineStr">
        <is>
          <t>96</t>
        </is>
      </c>
      <c r="F11" s="21" t="inlineStr">
        <is>
          <t>88</t>
        </is>
      </c>
      <c r="G11" s="21" t="n"/>
      <c r="H11" s="21" t="inlineStr">
        <is>
          <t>44.5%</t>
        </is>
      </c>
      <c r="I11" s="21" t="inlineStr">
        <is>
          <t>(18.6%)</t>
        </is>
      </c>
      <c r="J11" s="21" t="inlineStr">
        <is>
          <t>(10.9%)</t>
        </is>
      </c>
      <c r="K11" s="21" t="inlineStr">
        <is>
          <t>n/m</t>
        </is>
      </c>
      <c r="L11" s="20" t="inlineStr">
        <is>
          <t>2,640</t>
        </is>
      </c>
      <c r="M11" s="21" t="inlineStr">
        <is>
          <t>3,004</t>
        </is>
      </c>
      <c r="N11" s="21" t="inlineStr">
        <is>
          <t>3,523</t>
        </is>
      </c>
      <c r="O11" s="21" t="inlineStr">
        <is>
          <t>-</t>
        </is>
      </c>
      <c r="P11" s="21" t="inlineStr">
        <is>
          <t>(12.1%)</t>
        </is>
      </c>
      <c r="Q11" s="21" t="inlineStr">
        <is>
          <t>(25.1%)</t>
        </is>
      </c>
      <c r="R11" s="21" t="inlineStr">
        <is>
          <t>-</t>
        </is>
      </c>
      <c r="S11" s="46" t="inlineStr">
        <is>
          <t>-</t>
        </is>
      </c>
    </row>
    <row r="12" ht="30" customFormat="1" customHeight="1" s="37" thickBot="1">
      <c r="A12" s="17" t="inlineStr">
        <is>
          <t>Wholesale Net Revenue</t>
        </is>
      </c>
      <c r="B12" s="18" t="n"/>
      <c r="C12" s="35" t="inlineStr">
        <is>
          <t>0</t>
        </is>
      </c>
      <c r="D12" s="36" t="inlineStr">
        <is>
          <t>0</t>
        </is>
      </c>
      <c r="E12" s="36" t="inlineStr">
        <is>
          <t>19</t>
        </is>
      </c>
      <c r="F12" s="36" t="inlineStr">
        <is>
          <t>0</t>
        </is>
      </c>
      <c r="G12" s="36" t="n"/>
      <c r="H12" s="36" t="inlineStr">
        <is>
          <t>0.0%</t>
        </is>
      </c>
      <c r="I12" s="36" t="inlineStr">
        <is>
          <t>(100.0%)</t>
        </is>
      </c>
      <c r="J12" s="36" t="inlineStr">
        <is>
          <t>0.0%</t>
        </is>
      </c>
      <c r="K12" s="36" t="inlineStr">
        <is>
          <t>n/m</t>
        </is>
      </c>
      <c r="L12" s="35" t="inlineStr">
        <is>
          <t>4,536</t>
        </is>
      </c>
      <c r="M12" s="36" t="inlineStr">
        <is>
          <t>2,530</t>
        </is>
      </c>
      <c r="N12" s="36" t="inlineStr">
        <is>
          <t>59</t>
        </is>
      </c>
      <c r="O12" s="36" t="inlineStr">
        <is>
          <t>-</t>
        </is>
      </c>
      <c r="P12" s="36" t="inlineStr">
        <is>
          <t>79.3%</t>
        </is>
      </c>
      <c r="Q12" s="36" t="inlineStr">
        <is>
          <t>7599.2%</t>
        </is>
      </c>
      <c r="R12" s="36" t="inlineStr">
        <is>
          <t>-</t>
        </is>
      </c>
      <c r="S12" s="48" t="inlineStr">
        <is>
          <t>-</t>
        </is>
      </c>
    </row>
    <row r="13" ht="30" customHeight="1" s="116" thickTop="1">
      <c r="A13" s="3" t="inlineStr">
        <is>
          <t>Total Net Revenue</t>
        </is>
      </c>
      <c r="B13" s="4" t="n"/>
      <c r="C13" s="20" t="inlineStr">
        <is>
          <t>1,201</t>
        </is>
      </c>
      <c r="D13" s="21" t="inlineStr">
        <is>
          <t>778</t>
        </is>
      </c>
      <c r="E13" s="21" t="inlineStr">
        <is>
          <t>956</t>
        </is>
      </c>
      <c r="F13" s="21" t="inlineStr">
        <is>
          <t>1,000</t>
        </is>
      </c>
      <c r="G13" s="21" t="n"/>
      <c r="H13" s="21" t="inlineStr">
        <is>
          <t>54.4%</t>
        </is>
      </c>
      <c r="I13" s="21" t="inlineStr">
        <is>
          <t>25.6%</t>
        </is>
      </c>
      <c r="J13" s="21" t="inlineStr">
        <is>
          <t>20.0%</t>
        </is>
      </c>
      <c r="K13" s="21" t="inlineStr">
        <is>
          <t>n/m</t>
        </is>
      </c>
      <c r="L13" s="20" t="inlineStr">
        <is>
          <t>-</t>
        </is>
      </c>
      <c r="M13" s="21" t="inlineStr">
        <is>
          <t>-</t>
        </is>
      </c>
      <c r="N13" s="21" t="inlineStr">
        <is>
          <t>-</t>
        </is>
      </c>
      <c r="O13" s="21" t="inlineStr">
        <is>
          <t>-</t>
        </is>
      </c>
      <c r="P13" s="21" t="inlineStr">
        <is>
          <t>-</t>
        </is>
      </c>
      <c r="Q13" s="21" t="inlineStr">
        <is>
          <t>-</t>
        </is>
      </c>
      <c r="R13" s="21" t="inlineStr">
        <is>
          <t>-</t>
        </is>
      </c>
      <c r="S13" s="46" t="inlineStr">
        <is>
          <t>-</t>
        </is>
      </c>
    </row>
    <row r="14" ht="30" customHeight="1" s="116">
      <c r="A14" s="15" t="inlineStr">
        <is>
          <t>Returning Customers</t>
        </is>
      </c>
      <c r="B14" s="4" t="n"/>
      <c r="C14" s="20" t="inlineStr">
        <is>
          <t>473</t>
        </is>
      </c>
      <c r="D14" s="21" t="inlineStr">
        <is>
          <t>297</t>
        </is>
      </c>
      <c r="E14" s="21" t="inlineStr">
        <is>
          <t>309</t>
        </is>
      </c>
      <c r="F14" s="21" t="inlineStr">
        <is>
          <t>361</t>
        </is>
      </c>
      <c r="G14" s="21" t="n"/>
      <c r="H14" s="21" t="inlineStr">
        <is>
          <t>59.3%</t>
        </is>
      </c>
      <c r="I14" s="21" t="inlineStr">
        <is>
          <t>53.1%</t>
        </is>
      </c>
      <c r="J14" s="21" t="inlineStr">
        <is>
          <t>31.0%</t>
        </is>
      </c>
      <c r="K14" s="21" t="inlineStr">
        <is>
          <t>n/m</t>
        </is>
      </c>
      <c r="L14" s="20" t="inlineStr">
        <is>
          <t>8799</t>
        </is>
      </c>
      <c r="M14" s="49" t="inlineStr">
        <is>
          <t>8361</t>
        </is>
      </c>
      <c r="N14" s="49" t="inlineStr">
        <is>
          <t>9026</t>
        </is>
      </c>
      <c r="O14" s="49" t="inlineStr">
        <is>
          <t>-</t>
        </is>
      </c>
      <c r="P14" s="50" t="inlineStr">
        <is>
          <t>5.2%</t>
        </is>
      </c>
      <c r="Q14" s="50" t="inlineStr">
        <is>
          <t>(2.5%)</t>
        </is>
      </c>
      <c r="R14" s="51" t="inlineStr">
        <is>
          <t>-</t>
        </is>
      </c>
      <c r="S14" s="52" t="inlineStr">
        <is>
          <t>-</t>
        </is>
      </c>
    </row>
    <row r="15" ht="30" customHeight="1" s="116">
      <c r="A15" s="15" t="inlineStr">
        <is>
          <t>New customers</t>
        </is>
      </c>
      <c r="B15" s="4" t="n"/>
      <c r="C15" s="20" t="inlineStr">
        <is>
          <t>203</t>
        </is>
      </c>
      <c r="D15" s="21" t="inlineStr">
        <is>
          <t>148</t>
        </is>
      </c>
      <c r="E15" s="21" t="inlineStr">
        <is>
          <t>186</t>
        </is>
      </c>
      <c r="F15" s="21" t="inlineStr">
        <is>
          <t>276</t>
        </is>
      </c>
      <c r="G15" s="21" t="n"/>
      <c r="H15" s="21" t="inlineStr">
        <is>
          <t>37.2%</t>
        </is>
      </c>
      <c r="I15" s="21" t="inlineStr">
        <is>
          <t>9.1%</t>
        </is>
      </c>
      <c r="J15" s="21" t="inlineStr">
        <is>
          <t>(26.4%)</t>
        </is>
      </c>
      <c r="K15" s="21" t="inlineStr">
        <is>
          <t>n/m</t>
        </is>
      </c>
      <c r="L15" s="20" t="inlineStr">
        <is>
          <t>7273</t>
        </is>
      </c>
      <c r="M15" s="49" t="inlineStr">
        <is>
          <t>7667</t>
        </is>
      </c>
      <c r="N15" s="49" t="inlineStr">
        <is>
          <t>9902</t>
        </is>
      </c>
      <c r="O15" s="49" t="inlineStr">
        <is>
          <t>-</t>
        </is>
      </c>
      <c r="P15" s="50" t="inlineStr">
        <is>
          <t>(5.1%)</t>
        </is>
      </c>
      <c r="Q15" s="50" t="inlineStr">
        <is>
          <t>(26.6%)</t>
        </is>
      </c>
      <c r="R15" s="51" t="inlineStr">
        <is>
          <t>-</t>
        </is>
      </c>
      <c r="S15" s="52" t="inlineStr">
        <is>
          <t>-</t>
        </is>
      </c>
    </row>
    <row r="16" ht="30" customHeight="1" s="116">
      <c r="A16" s="15" t="inlineStr">
        <is>
          <t xml:space="preserve">Marketing Spend </t>
        </is>
      </c>
      <c r="B16" s="4" t="n"/>
      <c r="C16" s="20" t="inlineStr">
        <is>
          <t>0</t>
        </is>
      </c>
      <c r="D16" s="101" t="inlineStr">
        <is>
          <t>0</t>
        </is>
      </c>
      <c r="E16" s="21" t="inlineStr">
        <is>
          <t>197</t>
        </is>
      </c>
      <c r="F16" s="21" t="inlineStr">
        <is>
          <t>294</t>
        </is>
      </c>
      <c r="G16" s="21" t="n"/>
      <c r="H16" s="21" t="inlineStr">
        <is>
          <t>0.0%</t>
        </is>
      </c>
      <c r="I16" s="21" t="inlineStr">
        <is>
          <t>(100.0%)</t>
        </is>
      </c>
      <c r="J16" s="21" t="inlineStr">
        <is>
          <t>(100.0%)</t>
        </is>
      </c>
      <c r="K16" s="21" t="inlineStr">
        <is>
          <t>n/m</t>
        </is>
      </c>
      <c r="L16" s="20" t="inlineStr">
        <is>
          <t>542</t>
        </is>
      </c>
      <c r="M16" s="50" t="inlineStr">
        <is>
          <t>6,394</t>
        </is>
      </c>
      <c r="N16" s="50" t="inlineStr">
        <is>
          <t>8,485</t>
        </is>
      </c>
      <c r="O16" s="50" t="inlineStr">
        <is>
          <t>-</t>
        </is>
      </c>
      <c r="P16" s="50" t="inlineStr">
        <is>
          <t>(91.5%)</t>
        </is>
      </c>
      <c r="Q16" s="50" t="inlineStr">
        <is>
          <t>(93.6%)</t>
        </is>
      </c>
      <c r="R16" s="50" t="inlineStr">
        <is>
          <t>-</t>
        </is>
      </c>
      <c r="S16" s="53" t="inlineStr">
        <is>
          <t>-</t>
        </is>
      </c>
    </row>
    <row r="17" ht="30" customHeight="1" s="116">
      <c r="A17" s="15" t="inlineStr">
        <is>
          <t>Online Cost of Sale(3)</t>
        </is>
      </c>
      <c r="B17" s="4" t="n"/>
      <c r="C17" s="20" t="inlineStr">
        <is>
          <t>0.0 %</t>
        </is>
      </c>
      <c r="D17" s="21" t="inlineStr">
        <is>
          <t>0.0 %</t>
        </is>
      </c>
      <c r="E17" s="21" t="inlineStr">
        <is>
          <t>22.2 %</t>
        </is>
      </c>
      <c r="F17" s="21" t="inlineStr">
        <is>
          <t>29.1 %</t>
        </is>
      </c>
      <c r="G17" s="21" t="n"/>
      <c r="H17" s="21" t="inlineStr">
        <is>
          <t>0.0%</t>
        </is>
      </c>
      <c r="I17" s="21" t="inlineStr">
        <is>
          <t>(100.0%)</t>
        </is>
      </c>
      <c r="J17" s="21" t="inlineStr">
        <is>
          <t>(100.0%)</t>
        </is>
      </c>
      <c r="K17" s="21" t="inlineStr">
        <is>
          <t>n/m</t>
        </is>
      </c>
      <c r="L17" s="20" t="inlineStr">
        <is>
          <t>1.6%</t>
        </is>
      </c>
      <c r="M17" s="49" t="inlineStr">
        <is>
          <t>19.1%</t>
        </is>
      </c>
      <c r="N17" s="49" t="inlineStr">
        <is>
          <t>20.7%</t>
        </is>
      </c>
      <c r="O17" s="49" t="inlineStr">
        <is>
          <t>-</t>
        </is>
      </c>
      <c r="P17" s="50" t="inlineStr">
        <is>
          <t>(91.7%)</t>
        </is>
      </c>
      <c r="Q17" s="50" t="inlineStr">
        <is>
          <t>(92.3%)</t>
        </is>
      </c>
      <c r="R17" s="51" t="inlineStr">
        <is>
          <t>-</t>
        </is>
      </c>
      <c r="S17" s="52" t="inlineStr">
        <is>
          <t>-</t>
        </is>
      </c>
    </row>
    <row r="18" ht="30" customHeight="1" s="116">
      <c r="A18" s="19" t="inlineStr">
        <is>
          <t>(1) April onwards reflects Budget (constructed in Mar-23). Earlier months reflect New Case (constructed in Aug-22).</t>
        </is>
      </c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  <c r="S18" s="1" t="n"/>
    </row>
    <row r="19" ht="30" customHeight="1" s="116">
      <c r="A19" s="19" t="inlineStr">
        <is>
          <t>(2) Not meaningful as we do not budget WHS weekly.</t>
        </is>
      </c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  <c r="S19" s="1" t="n"/>
    </row>
    <row r="20" ht="30" customHeight="1" s="116">
      <c r="A20" s="19" t="inlineStr">
        <is>
          <t>(3) Not meaningful due to change in sales seasons.</t>
        </is>
      </c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  <c r="S20" s="1" t="n"/>
    </row>
    <row r="21" ht="30" customHeight="1" s="116">
      <c r="A21" s="19" t="inlineStr">
        <is>
          <t>(4) Year-to-gain reflects the y/y growth needed in the rest of the financial year to meet FY23/24 full year revenue forecasts (not the Budget)</t>
        </is>
      </c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  <c r="S21" s="1" t="n"/>
    </row>
    <row r="22" ht="30" customHeight="1" s="116">
      <c r="A22" s="19" t="inlineStr">
        <is>
          <t>(3) Defined as online media distribution cost / online gross revenue</t>
        </is>
      </c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  <c r="S22" s="1" t="n"/>
    </row>
    <row r="23" ht="30" customHeight="1" s="116">
      <c r="A23" s="19" t="inlineStr">
        <is>
          <t>(4) Only includes online media distribution cost for new customers (~70% of total media spend), per new customer</t>
        </is>
      </c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  <c r="S23" s="1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B2:AL18"/>
  <sheetViews>
    <sheetView zoomScale="58" workbookViewId="0">
      <selection activeCell="C2" sqref="C2:K2"/>
    </sheetView>
  </sheetViews>
  <sheetFormatPr baseColWidth="10" defaultRowHeight="16"/>
  <cols>
    <col width="17.5" customWidth="1" style="116" min="2" max="2"/>
    <col width="10.83203125" customWidth="1" style="116" min="3" max="29"/>
    <col width="30.1640625" customWidth="1" style="116" min="30" max="30"/>
  </cols>
  <sheetData>
    <row r="1" ht="35" customHeight="1" s="116"/>
    <row r="2" ht="35" customFormat="1" customHeight="1" s="111">
      <c r="B2" s="57" t="inlineStr">
        <is>
          <t>(SEK '000)</t>
        </is>
      </c>
      <c r="C2" s="110" t="inlineStr">
        <is>
          <t>Sep 22nd - Sep 28th</t>
        </is>
      </c>
      <c r="K2" s="112" t="n"/>
      <c r="L2" s="110" t="inlineStr">
        <is>
          <t>Y/Y  GROWTH %</t>
        </is>
      </c>
      <c r="T2" s="112" t="n"/>
      <c r="U2" s="110" t="inlineStr">
        <is>
          <t>SOB%</t>
        </is>
      </c>
      <c r="AC2" s="112" t="n"/>
      <c r="AD2" s="110" t="inlineStr">
        <is>
          <t>Y/Y GROWTH TREND</t>
        </is>
      </c>
      <c r="AL2" s="56" t="n"/>
    </row>
    <row r="3" ht="61" customHeight="1" s="116">
      <c r="B3" s="59" t="inlineStr">
        <is>
          <t>Markets</t>
        </is>
      </c>
      <c r="C3" s="60" t="n">
        <v>32</v>
      </c>
      <c r="D3" s="61" t="n">
        <v>33</v>
      </c>
      <c r="E3" s="61" t="n">
        <v>34</v>
      </c>
      <c r="F3" s="61" t="n">
        <v>35</v>
      </c>
      <c r="G3" s="61" t="n">
        <v>36</v>
      </c>
      <c r="H3" s="61" t="n">
        <v>37</v>
      </c>
      <c r="I3" s="61" t="n">
        <v>38</v>
      </c>
      <c r="J3" s="62" t="n">
        <v>39</v>
      </c>
      <c r="K3" s="63" t="inlineStr">
        <is>
          <t>8-week avg.</t>
        </is>
      </c>
      <c r="L3" s="61" t="n">
        <v>32</v>
      </c>
      <c r="M3" s="61" t="n">
        <v>33</v>
      </c>
      <c r="N3" s="61" t="n">
        <v>34</v>
      </c>
      <c r="O3" s="61" t="n">
        <v>35</v>
      </c>
      <c r="P3" s="61" t="n">
        <v>36</v>
      </c>
      <c r="Q3" s="61" t="n">
        <v>37</v>
      </c>
      <c r="R3" s="61" t="n">
        <v>38</v>
      </c>
      <c r="S3" s="62" t="n">
        <v>39</v>
      </c>
      <c r="T3" s="63" t="inlineStr">
        <is>
          <t>8-week avg.</t>
        </is>
      </c>
      <c r="U3" s="61" t="n">
        <v>32</v>
      </c>
      <c r="V3" s="61" t="n">
        <v>33</v>
      </c>
      <c r="W3" s="61" t="n">
        <v>34</v>
      </c>
      <c r="X3" s="61" t="n">
        <v>35</v>
      </c>
      <c r="Y3" s="61" t="n">
        <v>36</v>
      </c>
      <c r="Z3" s="61" t="n">
        <v>37</v>
      </c>
      <c r="AA3" s="61" t="n">
        <v>38</v>
      </c>
      <c r="AB3" s="62" t="n">
        <v>39</v>
      </c>
      <c r="AC3" s="63" t="inlineStr">
        <is>
          <t>8-week avg.</t>
        </is>
      </c>
      <c r="AD3" s="64" t="n"/>
    </row>
    <row r="4" ht="50" customHeight="1" s="116">
      <c r="B4" s="82" t="inlineStr">
        <is>
          <t>United States</t>
        </is>
      </c>
      <c r="C4" s="65" t="n">
        <v>515</v>
      </c>
      <c r="D4" s="66" t="n">
        <v>450</v>
      </c>
      <c r="E4" s="66" t="n">
        <v>400</v>
      </c>
      <c r="F4" s="66" t="n">
        <v>329</v>
      </c>
      <c r="G4" s="66" t="n">
        <v>355</v>
      </c>
      <c r="H4" s="66" t="n">
        <v>282</v>
      </c>
      <c r="I4" s="66" t="n">
        <v>251</v>
      </c>
      <c r="J4" s="67" t="n">
        <v>380</v>
      </c>
      <c r="K4" s="68" t="n">
        <v>370</v>
      </c>
      <c r="L4" s="66" t="inlineStr">
        <is>
          <t>7</t>
        </is>
      </c>
      <c r="M4" s="66" t="inlineStr">
        <is>
          <t>(1)</t>
        </is>
      </c>
      <c r="N4" s="66" t="inlineStr">
        <is>
          <t>(6)</t>
        </is>
      </c>
      <c r="O4" s="66" t="inlineStr">
        <is>
          <t>(12)</t>
        </is>
      </c>
      <c r="P4" s="66" t="inlineStr">
        <is>
          <t>32</t>
        </is>
      </c>
      <c r="Q4" s="66" t="inlineStr">
        <is>
          <t>(10)</t>
        </is>
      </c>
      <c r="R4" s="66" t="inlineStr">
        <is>
          <t>(19)</t>
        </is>
      </c>
      <c r="S4" s="67" t="inlineStr">
        <is>
          <t>13</t>
        </is>
      </c>
      <c r="T4" s="68" t="inlineStr">
        <is>
          <t>13</t>
        </is>
      </c>
      <c r="U4" s="70" t="n">
        <v>38</v>
      </c>
      <c r="V4" s="70" t="n">
        <v>35</v>
      </c>
      <c r="W4" s="70" t="n">
        <v>42</v>
      </c>
      <c r="X4" s="70" t="n">
        <v>34</v>
      </c>
      <c r="Y4" s="70" t="n">
        <v>36</v>
      </c>
      <c r="Z4" s="70" t="n">
        <v>34</v>
      </c>
      <c r="AA4" s="70" t="n">
        <v>31</v>
      </c>
      <c r="AB4" s="67" t="n">
        <v>32</v>
      </c>
      <c r="AC4" s="68" t="n">
        <v>36</v>
      </c>
      <c r="AD4" s="54" t="n"/>
    </row>
    <row r="5" ht="50" customHeight="1" s="116">
      <c r="B5" s="83" t="inlineStr">
        <is>
          <t>United Kingdom</t>
        </is>
      </c>
      <c r="C5" s="71" t="n">
        <v>205</v>
      </c>
      <c r="D5" s="72" t="n">
        <v>165</v>
      </c>
      <c r="E5" s="72" t="n">
        <v>149</v>
      </c>
      <c r="F5" s="72" t="n">
        <v>175</v>
      </c>
      <c r="G5" s="72" t="n">
        <v>135</v>
      </c>
      <c r="H5" s="72" t="n">
        <v>143</v>
      </c>
      <c r="I5" s="72" t="n">
        <v>142</v>
      </c>
      <c r="J5" s="66" t="n">
        <v>192</v>
      </c>
      <c r="K5" s="69" t="n">
        <v>163</v>
      </c>
      <c r="L5" s="72" t="inlineStr">
        <is>
          <t>22</t>
        </is>
      </c>
      <c r="M5" s="72" t="inlineStr">
        <is>
          <t>16</t>
        </is>
      </c>
      <c r="N5" s="72" t="inlineStr">
        <is>
          <t>(17)</t>
        </is>
      </c>
      <c r="O5" s="72" t="inlineStr">
        <is>
          <t>10</t>
        </is>
      </c>
      <c r="P5" s="72" t="inlineStr">
        <is>
          <t>(5)</t>
        </is>
      </c>
      <c r="Q5" s="72" t="inlineStr">
        <is>
          <t>8</t>
        </is>
      </c>
      <c r="R5" s="72" t="inlineStr">
        <is>
          <t>1</t>
        </is>
      </c>
      <c r="S5" s="66" t="inlineStr">
        <is>
          <t>112</t>
        </is>
      </c>
      <c r="T5" s="69" t="inlineStr">
        <is>
          <t>112</t>
        </is>
      </c>
      <c r="U5" s="73" t="n">
        <v>15</v>
      </c>
      <c r="V5" s="73" t="n">
        <v>13</v>
      </c>
      <c r="W5" s="73" t="n">
        <v>16</v>
      </c>
      <c r="X5" s="73" t="n">
        <v>18</v>
      </c>
      <c r="Y5" s="73" t="n">
        <v>14</v>
      </c>
      <c r="Z5" s="73" t="n">
        <v>17</v>
      </c>
      <c r="AA5" s="73" t="n">
        <v>18</v>
      </c>
      <c r="AB5" s="66" t="n">
        <v>16</v>
      </c>
      <c r="AC5" s="69" t="n">
        <v>16</v>
      </c>
      <c r="AD5" s="54" t="n"/>
    </row>
    <row r="6" ht="50" customHeight="1" s="116">
      <c r="B6" s="82" t="inlineStr">
        <is>
          <t>Sweden</t>
        </is>
      </c>
      <c r="C6" s="65" t="n">
        <v>121</v>
      </c>
      <c r="D6" s="66" t="n">
        <v>122</v>
      </c>
      <c r="E6" s="66" t="n">
        <v>79</v>
      </c>
      <c r="F6" s="66" t="n">
        <v>76</v>
      </c>
      <c r="G6" s="66" t="n">
        <v>104</v>
      </c>
      <c r="H6" s="66" t="n">
        <v>62</v>
      </c>
      <c r="I6" s="66" t="n">
        <v>78</v>
      </c>
      <c r="J6" s="67" t="n">
        <v>134</v>
      </c>
      <c r="K6" s="68" t="n">
        <v>97</v>
      </c>
      <c r="L6" s="66" t="inlineStr">
        <is>
          <t>(40)</t>
        </is>
      </c>
      <c r="M6" s="66" t="inlineStr">
        <is>
          <t>(11)</t>
        </is>
      </c>
      <c r="N6" s="66" t="inlineStr">
        <is>
          <t>(33)</t>
        </is>
      </c>
      <c r="O6" s="66" t="inlineStr">
        <is>
          <t>(13)</t>
        </is>
      </c>
      <c r="P6" s="66" t="inlineStr">
        <is>
          <t>(3)</t>
        </is>
      </c>
      <c r="Q6" s="66" t="inlineStr">
        <is>
          <t>(51)</t>
        </is>
      </c>
      <c r="R6" s="66" t="inlineStr">
        <is>
          <t>(21)</t>
        </is>
      </c>
      <c r="S6" s="67" t="inlineStr">
        <is>
          <t>20</t>
        </is>
      </c>
      <c r="T6" s="68" t="inlineStr">
        <is>
          <t>20</t>
        </is>
      </c>
      <c r="U6" s="70" t="n">
        <v>9</v>
      </c>
      <c r="V6" s="70" t="n">
        <v>9</v>
      </c>
      <c r="W6" s="70" t="n">
        <v>8</v>
      </c>
      <c r="X6" s="70" t="n">
        <v>8</v>
      </c>
      <c r="Y6" s="70" t="n">
        <v>11</v>
      </c>
      <c r="Z6" s="70" t="n">
        <v>8</v>
      </c>
      <c r="AA6" s="70" t="n">
        <v>10</v>
      </c>
      <c r="AB6" s="67" t="n">
        <v>11</v>
      </c>
      <c r="AC6" s="68" t="n">
        <v>9</v>
      </c>
      <c r="AD6" s="54" t="n"/>
    </row>
    <row r="7" ht="50" customHeight="1" s="116">
      <c r="B7" s="83" t="inlineStr">
        <is>
          <t>Germany</t>
        </is>
      </c>
      <c r="C7" s="71" t="n">
        <v>95</v>
      </c>
      <c r="D7" s="74" t="n">
        <v>119</v>
      </c>
      <c r="E7" s="72" t="n">
        <v>80</v>
      </c>
      <c r="F7" s="72" t="n">
        <v>86</v>
      </c>
      <c r="G7" s="72" t="n">
        <v>81</v>
      </c>
      <c r="H7" s="72" t="n">
        <v>49</v>
      </c>
      <c r="I7" s="72" t="n">
        <v>76</v>
      </c>
      <c r="J7" s="66" t="n">
        <v>127</v>
      </c>
      <c r="K7" s="69" t="n">
        <v>89</v>
      </c>
      <c r="L7" s="72" t="inlineStr">
        <is>
          <t>(20)</t>
        </is>
      </c>
      <c r="M7" s="72" t="inlineStr">
        <is>
          <t>1</t>
        </is>
      </c>
      <c r="N7" s="72" t="inlineStr">
        <is>
          <t>19</t>
        </is>
      </c>
      <c r="O7" s="72" t="inlineStr">
        <is>
          <t>49</t>
        </is>
      </c>
      <c r="P7" s="72" t="inlineStr">
        <is>
          <t>8</t>
        </is>
      </c>
      <c r="Q7" s="72" t="inlineStr">
        <is>
          <t>(23)</t>
        </is>
      </c>
      <c r="R7" s="72" t="inlineStr">
        <is>
          <t>89</t>
        </is>
      </c>
      <c r="S7" s="66" t="inlineStr">
        <is>
          <t>53</t>
        </is>
      </c>
      <c r="T7" s="69" t="inlineStr">
        <is>
          <t>53</t>
        </is>
      </c>
      <c r="U7" s="73" t="n">
        <v>7</v>
      </c>
      <c r="V7" s="73" t="n">
        <v>9</v>
      </c>
      <c r="W7" s="73" t="n">
        <v>8</v>
      </c>
      <c r="X7" s="73" t="n">
        <v>9</v>
      </c>
      <c r="Y7" s="73" t="n">
        <v>8</v>
      </c>
      <c r="Z7" s="73" t="n">
        <v>6</v>
      </c>
      <c r="AA7" s="73" t="n">
        <v>9</v>
      </c>
      <c r="AB7" s="66" t="n">
        <v>11</v>
      </c>
      <c r="AC7" s="69" t="n">
        <v>9</v>
      </c>
      <c r="AD7" s="54" t="n"/>
    </row>
    <row r="8" ht="50" customHeight="1" s="116">
      <c r="B8" s="84" t="inlineStr">
        <is>
          <t>France</t>
        </is>
      </c>
      <c r="C8" s="65" t="n">
        <v>49</v>
      </c>
      <c r="D8" s="66" t="n">
        <v>44</v>
      </c>
      <c r="E8" s="66" t="n">
        <v>15</v>
      </c>
      <c r="F8" s="66" t="n">
        <v>17</v>
      </c>
      <c r="G8" s="66" t="n">
        <v>27</v>
      </c>
      <c r="H8" s="66" t="n">
        <v>25</v>
      </c>
      <c r="I8" s="66" t="n">
        <v>23</v>
      </c>
      <c r="J8" s="67" t="n">
        <v>48</v>
      </c>
      <c r="K8" s="68" t="n">
        <v>31</v>
      </c>
      <c r="L8" s="66" t="inlineStr">
        <is>
          <t>0</t>
        </is>
      </c>
      <c r="M8" s="66" t="inlineStr">
        <is>
          <t>19</t>
        </is>
      </c>
      <c r="N8" s="66" t="inlineStr">
        <is>
          <t>(42)</t>
        </is>
      </c>
      <c r="O8" s="66" t="inlineStr">
        <is>
          <t>(50)</t>
        </is>
      </c>
      <c r="P8" s="66" t="inlineStr">
        <is>
          <t>38</t>
        </is>
      </c>
      <c r="Q8" s="66" t="inlineStr">
        <is>
          <t>42</t>
        </is>
      </c>
      <c r="R8" s="66" t="inlineStr">
        <is>
          <t>55</t>
        </is>
      </c>
      <c r="S8" s="67" t="inlineStr">
        <is>
          <t>166</t>
        </is>
      </c>
      <c r="T8" s="68" t="inlineStr">
        <is>
          <t>166</t>
        </is>
      </c>
      <c r="U8" s="70" t="n">
        <v>4</v>
      </c>
      <c r="V8" s="70" t="n">
        <v>3</v>
      </c>
      <c r="W8" s="70" t="n">
        <v>2</v>
      </c>
      <c r="X8" s="70" t="n">
        <v>2</v>
      </c>
      <c r="Y8" s="70" t="n">
        <v>3</v>
      </c>
      <c r="Z8" s="70" t="n">
        <v>3</v>
      </c>
      <c r="AA8" s="70" t="n">
        <v>3</v>
      </c>
      <c r="AB8" s="67" t="n">
        <v>4</v>
      </c>
      <c r="AC8" s="68" t="n">
        <v>3</v>
      </c>
      <c r="AD8" s="54" t="n"/>
    </row>
    <row r="9" ht="50" customHeight="1" s="116">
      <c r="B9" s="85" t="inlineStr">
        <is>
          <t>Canada</t>
        </is>
      </c>
      <c r="C9" s="71" t="n">
        <v>18</v>
      </c>
      <c r="D9" s="72" t="n">
        <v>22</v>
      </c>
      <c r="E9" s="72" t="n">
        <v>20</v>
      </c>
      <c r="F9" s="72" t="n">
        <v>16</v>
      </c>
      <c r="G9" s="72" t="n">
        <v>47</v>
      </c>
      <c r="H9" s="72" t="n">
        <v>11</v>
      </c>
      <c r="I9" s="72" t="n">
        <v>27</v>
      </c>
      <c r="J9" s="66" t="n">
        <v>35</v>
      </c>
      <c r="K9" s="69" t="n">
        <v>25</v>
      </c>
      <c r="L9" s="72" t="inlineStr">
        <is>
          <t>(14)</t>
        </is>
      </c>
      <c r="M9" s="72" t="inlineStr">
        <is>
          <t>71</t>
        </is>
      </c>
      <c r="N9" s="72" t="inlineStr">
        <is>
          <t>(32)</t>
        </is>
      </c>
      <c r="O9" s="72" t="inlineStr">
        <is>
          <t>(59)</t>
        </is>
      </c>
      <c r="P9" s="72" t="inlineStr">
        <is>
          <t>332</t>
        </is>
      </c>
      <c r="Q9" s="72" t="inlineStr">
        <is>
          <t>(60)</t>
        </is>
      </c>
      <c r="R9" s="72" t="inlineStr">
        <is>
          <t>95</t>
        </is>
      </c>
      <c r="S9" s="66" t="inlineStr">
        <is>
          <t>115</t>
        </is>
      </c>
      <c r="T9" s="69" t="inlineStr">
        <is>
          <t>115</t>
        </is>
      </c>
      <c r="U9" s="73" t="n">
        <v>1</v>
      </c>
      <c r="V9" s="73" t="n">
        <v>2</v>
      </c>
      <c r="W9" s="73" t="n">
        <v>2</v>
      </c>
      <c r="X9" s="73" t="n">
        <v>2</v>
      </c>
      <c r="Y9" s="73" t="n">
        <v>5</v>
      </c>
      <c r="Z9" s="73" t="n">
        <v>1</v>
      </c>
      <c r="AA9" s="73" t="n">
        <v>3</v>
      </c>
      <c r="AB9" s="66" t="n">
        <v>3</v>
      </c>
      <c r="AC9" s="69" t="n">
        <v>2</v>
      </c>
      <c r="AD9" s="54" t="n"/>
    </row>
    <row r="10" ht="50" customHeight="1" s="116">
      <c r="B10" s="84" t="inlineStr">
        <is>
          <t>Netherlands</t>
        </is>
      </c>
      <c r="C10" s="65" t="n">
        <v>25</v>
      </c>
      <c r="D10" s="66" t="n">
        <v>25</v>
      </c>
      <c r="E10" s="66" t="n">
        <v>13</v>
      </c>
      <c r="F10" s="66" t="n">
        <v>21</v>
      </c>
      <c r="G10" s="66" t="n">
        <v>10</v>
      </c>
      <c r="H10" s="66" t="n">
        <v>9</v>
      </c>
      <c r="I10" s="66" t="n">
        <v>13</v>
      </c>
      <c r="J10" s="67" t="n">
        <v>32</v>
      </c>
      <c r="K10" s="68" t="n">
        <v>19</v>
      </c>
      <c r="L10" s="66" t="inlineStr">
        <is>
          <t>(22)</t>
        </is>
      </c>
      <c r="M10" s="66" t="inlineStr">
        <is>
          <t>(24)</t>
        </is>
      </c>
      <c r="N10" s="66" t="inlineStr">
        <is>
          <t>(51)</t>
        </is>
      </c>
      <c r="O10" s="66" t="inlineStr">
        <is>
          <t>25</t>
        </is>
      </c>
      <c r="P10" s="66" t="inlineStr">
        <is>
          <t>0</t>
        </is>
      </c>
      <c r="Q10" s="66" t="inlineStr">
        <is>
          <t>(62)</t>
        </is>
      </c>
      <c r="R10" s="66" t="inlineStr">
        <is>
          <t>(40)</t>
        </is>
      </c>
      <c r="S10" s="67" t="inlineStr">
        <is>
          <t>24</t>
        </is>
      </c>
      <c r="T10" s="68" t="inlineStr">
        <is>
          <t>24</t>
        </is>
      </c>
      <c r="U10" s="70" t="n">
        <v>2</v>
      </c>
      <c r="V10" s="70" t="n">
        <v>2</v>
      </c>
      <c r="W10" s="70" t="n">
        <v>1</v>
      </c>
      <c r="X10" s="70" t="n">
        <v>2</v>
      </c>
      <c r="Y10" s="70" t="n">
        <v>1</v>
      </c>
      <c r="Z10" s="70" t="n">
        <v>1</v>
      </c>
      <c r="AA10" s="70" t="n">
        <v>2</v>
      </c>
      <c r="AB10" s="67" t="n">
        <v>3</v>
      </c>
      <c r="AC10" s="68" t="n">
        <v>2</v>
      </c>
      <c r="AD10" s="54" t="n"/>
    </row>
    <row r="11" ht="50" customHeight="1" s="116">
      <c r="B11" s="85" t="inlineStr">
        <is>
          <t>Australia</t>
        </is>
      </c>
      <c r="C11" s="71" t="n">
        <v>47</v>
      </c>
      <c r="D11" s="72" t="n">
        <v>15</v>
      </c>
      <c r="E11" s="72" t="n">
        <v>20</v>
      </c>
      <c r="F11" s="72" t="n">
        <v>19</v>
      </c>
      <c r="G11" s="72" t="n">
        <v>36</v>
      </c>
      <c r="H11" s="72" t="n">
        <v>43</v>
      </c>
      <c r="I11" s="72" t="n">
        <v>18</v>
      </c>
      <c r="J11" s="66" t="n">
        <v>26</v>
      </c>
      <c r="K11" s="69" t="n">
        <v>28</v>
      </c>
      <c r="L11" s="71" t="inlineStr">
        <is>
          <t>(8)</t>
        </is>
      </c>
      <c r="M11" s="72" t="inlineStr">
        <is>
          <t>(58)</t>
        </is>
      </c>
      <c r="N11" s="72" t="inlineStr">
        <is>
          <t>(60)</t>
        </is>
      </c>
      <c r="O11" s="72" t="inlineStr">
        <is>
          <t>(69)</t>
        </is>
      </c>
      <c r="P11" s="72" t="inlineStr">
        <is>
          <t>29</t>
        </is>
      </c>
      <c r="Q11" s="72" t="inlineStr">
        <is>
          <t>44</t>
        </is>
      </c>
      <c r="R11" s="72" t="inlineStr">
        <is>
          <t>(53)</t>
        </is>
      </c>
      <c r="S11" s="66" t="inlineStr">
        <is>
          <t>(19)</t>
        </is>
      </c>
      <c r="T11" s="69" t="inlineStr">
        <is>
          <t>(19)</t>
        </is>
      </c>
      <c r="U11" s="73" t="n">
        <v>3</v>
      </c>
      <c r="V11" s="73" t="n">
        <v>1</v>
      </c>
      <c r="W11" s="73" t="n">
        <v>2</v>
      </c>
      <c r="X11" s="73" t="n">
        <v>2</v>
      </c>
      <c r="Y11" s="73" t="n">
        <v>4</v>
      </c>
      <c r="Z11" s="73" t="n">
        <v>5</v>
      </c>
      <c r="AA11" s="73" t="n">
        <v>2</v>
      </c>
      <c r="AB11" s="66" t="n">
        <v>2</v>
      </c>
      <c r="AC11" s="69" t="n">
        <v>3</v>
      </c>
      <c r="AD11" s="54" t="n"/>
    </row>
    <row r="12" ht="50" customHeight="1" s="116">
      <c r="B12" s="84" t="inlineStr">
        <is>
          <t>Austria</t>
        </is>
      </c>
      <c r="C12" s="65" t="n">
        <v>54</v>
      </c>
      <c r="D12" s="66" t="n">
        <v>17</v>
      </c>
      <c r="E12" s="66" t="n">
        <v>7</v>
      </c>
      <c r="F12" s="66" t="n">
        <v>25</v>
      </c>
      <c r="G12" s="66" t="n">
        <v>5</v>
      </c>
      <c r="H12" s="66" t="n">
        <v>10</v>
      </c>
      <c r="I12" s="66" t="n">
        <v>10</v>
      </c>
      <c r="J12" s="67" t="n">
        <v>20</v>
      </c>
      <c r="K12" s="68" t="n">
        <v>19</v>
      </c>
      <c r="L12" s="66" t="inlineStr">
        <is>
          <t>170</t>
        </is>
      </c>
      <c r="M12" s="66" t="inlineStr">
        <is>
          <t>18</t>
        </is>
      </c>
      <c r="N12" s="66" t="inlineStr">
        <is>
          <t>(81)</t>
        </is>
      </c>
      <c r="O12" s="66" t="inlineStr">
        <is>
          <t>21</t>
        </is>
      </c>
      <c r="P12" s="66" t="inlineStr">
        <is>
          <t>(67)</t>
        </is>
      </c>
      <c r="Q12" s="66" t="inlineStr">
        <is>
          <t>152</t>
        </is>
      </c>
      <c r="R12" s="66" t="inlineStr">
        <is>
          <t>(3)</t>
        </is>
      </c>
      <c r="S12" s="67" t="inlineStr">
        <is>
          <t>55</t>
        </is>
      </c>
      <c r="T12" s="68" t="inlineStr">
        <is>
          <t>55</t>
        </is>
      </c>
      <c r="U12" s="70" t="n">
        <v>4</v>
      </c>
      <c r="V12" s="70" t="n">
        <v>1</v>
      </c>
      <c r="W12" s="70" t="n">
        <v>1</v>
      </c>
      <c r="X12" s="70" t="n">
        <v>3</v>
      </c>
      <c r="Y12" s="70" t="n">
        <v>1</v>
      </c>
      <c r="Z12" s="70" t="n">
        <v>1</v>
      </c>
      <c r="AA12" s="70" t="n">
        <v>1</v>
      </c>
      <c r="AB12" s="67" t="n">
        <v>2</v>
      </c>
      <c r="AC12" s="68" t="n">
        <v>2</v>
      </c>
      <c r="AD12" s="54" t="n"/>
    </row>
    <row r="13" ht="50" customHeight="1" s="116">
      <c r="B13" s="85" t="inlineStr">
        <is>
          <t>United Arab Emirates</t>
        </is>
      </c>
      <c r="C13" s="71" t="n">
        <v>16</v>
      </c>
      <c r="D13" s="72" t="n">
        <v>34</v>
      </c>
      <c r="E13" s="72" t="n">
        <v>12</v>
      </c>
      <c r="F13" s="72" t="n">
        <v>17</v>
      </c>
      <c r="G13" s="72" t="n">
        <v>9</v>
      </c>
      <c r="H13" s="72" t="n">
        <v>11</v>
      </c>
      <c r="I13" s="72" t="n">
        <v>18</v>
      </c>
      <c r="J13" s="66" t="n">
        <v>15</v>
      </c>
      <c r="K13" s="69" t="n">
        <v>17</v>
      </c>
      <c r="L13" s="72" t="inlineStr">
        <is>
          <t>146</t>
        </is>
      </c>
      <c r="M13" s="72" t="inlineStr">
        <is>
          <t>22</t>
        </is>
      </c>
      <c r="N13" s="72" t="inlineStr">
        <is>
          <t>7</t>
        </is>
      </c>
      <c r="O13" s="72" t="inlineStr">
        <is>
          <t>3</t>
        </is>
      </c>
      <c r="P13" s="72" t="inlineStr">
        <is>
          <t>(59)</t>
        </is>
      </c>
      <c r="Q13" s="72" t="inlineStr">
        <is>
          <t>87</t>
        </is>
      </c>
      <c r="R13" s="72" t="inlineStr">
        <is>
          <t>(2)</t>
        </is>
      </c>
      <c r="S13" s="66" t="inlineStr">
        <is>
          <t>(1)</t>
        </is>
      </c>
      <c r="T13" s="69" t="inlineStr">
        <is>
          <t>(1)</t>
        </is>
      </c>
      <c r="U13" s="73" t="n">
        <v>1</v>
      </c>
      <c r="V13" s="73" t="n">
        <v>3</v>
      </c>
      <c r="W13" s="73" t="n">
        <v>1</v>
      </c>
      <c r="X13" s="73" t="n">
        <v>2</v>
      </c>
      <c r="Y13" s="73" t="n">
        <v>1</v>
      </c>
      <c r="Z13" s="73" t="n">
        <v>1</v>
      </c>
      <c r="AA13" s="73" t="n">
        <v>2</v>
      </c>
      <c r="AB13" s="66" t="n">
        <v>1</v>
      </c>
      <c r="AC13" s="69" t="n">
        <v>2</v>
      </c>
      <c r="AD13" s="54" t="n"/>
    </row>
    <row r="14" ht="50" customHeight="1" s="116">
      <c r="B14" s="84" t="inlineStr">
        <is>
          <t>Italy</t>
        </is>
      </c>
      <c r="C14" s="65" t="n">
        <v>13</v>
      </c>
      <c r="D14" s="66" t="n">
        <v>31</v>
      </c>
      <c r="E14" s="66" t="n">
        <v>8</v>
      </c>
      <c r="F14" s="66" t="n">
        <v>16</v>
      </c>
      <c r="G14" s="66" t="n">
        <v>15</v>
      </c>
      <c r="H14" s="66" t="n">
        <v>10</v>
      </c>
      <c r="I14" s="66" t="n">
        <v>11</v>
      </c>
      <c r="J14" s="67" t="n">
        <v>14</v>
      </c>
      <c r="K14" s="68" t="n">
        <v>15</v>
      </c>
      <c r="L14" s="66" t="inlineStr">
        <is>
          <t>(45)</t>
        </is>
      </c>
      <c r="M14" s="66" t="inlineStr">
        <is>
          <t>81</t>
        </is>
      </c>
      <c r="N14" s="66" t="inlineStr">
        <is>
          <t>(41)</t>
        </is>
      </c>
      <c r="O14" s="66" t="inlineStr">
        <is>
          <t>(9)</t>
        </is>
      </c>
      <c r="P14" s="66" t="inlineStr">
        <is>
          <t>330</t>
        </is>
      </c>
      <c r="Q14" s="66" t="inlineStr">
        <is>
          <t>(1)</t>
        </is>
      </c>
      <c r="R14" s="66" t="inlineStr">
        <is>
          <t>43</t>
        </is>
      </c>
      <c r="S14" s="67" t="inlineStr">
        <is>
          <t>59</t>
        </is>
      </c>
      <c r="T14" s="68" t="inlineStr">
        <is>
          <t>59</t>
        </is>
      </c>
      <c r="U14" s="70" t="n">
        <v>1</v>
      </c>
      <c r="V14" s="70" t="n">
        <v>2</v>
      </c>
      <c r="W14" s="70" t="n">
        <v>1</v>
      </c>
      <c r="X14" s="70" t="n">
        <v>2</v>
      </c>
      <c r="Y14" s="70" t="n">
        <v>1</v>
      </c>
      <c r="Z14" s="70" t="n">
        <v>1</v>
      </c>
      <c r="AA14" s="70" t="n">
        <v>1</v>
      </c>
      <c r="AB14" s="67" t="n">
        <v>1</v>
      </c>
      <c r="AC14" s="68" t="n">
        <v>1</v>
      </c>
      <c r="AD14" s="54" t="n"/>
    </row>
    <row r="15" ht="50" customHeight="1" s="116">
      <c r="B15" s="85" t="inlineStr">
        <is>
          <t>Singapore</t>
        </is>
      </c>
      <c r="C15" s="71" t="n">
        <v>9</v>
      </c>
      <c r="D15" s="72" t="n">
        <v>22</v>
      </c>
      <c r="E15" s="72" t="n">
        <v>22</v>
      </c>
      <c r="F15" s="72" t="n">
        <v>8</v>
      </c>
      <c r="G15" s="72" t="n">
        <v>10</v>
      </c>
      <c r="H15" s="72" t="n">
        <v>9</v>
      </c>
      <c r="I15" s="72" t="n">
        <v>12</v>
      </c>
      <c r="J15" s="66" t="n">
        <v>13</v>
      </c>
      <c r="K15" s="69" t="n">
        <v>13</v>
      </c>
      <c r="L15" s="72" t="inlineStr">
        <is>
          <t>0</t>
        </is>
      </c>
      <c r="M15" s="72" t="inlineStr">
        <is>
          <t>0</t>
        </is>
      </c>
      <c r="N15" s="72" t="inlineStr">
        <is>
          <t>0</t>
        </is>
      </c>
      <c r="O15" s="72" t="inlineStr">
        <is>
          <t>0</t>
        </is>
      </c>
      <c r="P15" s="72" t="inlineStr">
        <is>
          <t>0</t>
        </is>
      </c>
      <c r="Q15" s="72" t="inlineStr">
        <is>
          <t>0</t>
        </is>
      </c>
      <c r="R15" s="72" t="inlineStr">
        <is>
          <t>0</t>
        </is>
      </c>
      <c r="S15" s="66" t="inlineStr">
        <is>
          <t>0</t>
        </is>
      </c>
      <c r="T15" s="69" t="inlineStr">
        <is>
          <t>0</t>
        </is>
      </c>
      <c r="U15" s="73" t="n">
        <v>1</v>
      </c>
      <c r="V15" s="73" t="n">
        <v>2</v>
      </c>
      <c r="W15" s="73" t="n">
        <v>2</v>
      </c>
      <c r="X15" s="73" t="n">
        <v>1</v>
      </c>
      <c r="Y15" s="73" t="n">
        <v>1</v>
      </c>
      <c r="Z15" s="73" t="n">
        <v>1</v>
      </c>
      <c r="AA15" s="73" t="n">
        <v>2</v>
      </c>
      <c r="AB15" s="66" t="n">
        <v>1</v>
      </c>
      <c r="AC15" s="69" t="n">
        <v>1</v>
      </c>
      <c r="AD15" s="54" t="n"/>
    </row>
    <row r="16" ht="50" customHeight="1" s="116">
      <c r="B16" s="84" t="inlineStr">
        <is>
          <t>Switzerland</t>
        </is>
      </c>
      <c r="C16" s="65" t="n">
        <v>34</v>
      </c>
      <c r="D16" s="66" t="n">
        <v>54</v>
      </c>
      <c r="E16" s="66" t="n">
        <v>36</v>
      </c>
      <c r="F16" s="66" t="n">
        <v>50</v>
      </c>
      <c r="G16" s="66" t="n">
        <v>25</v>
      </c>
      <c r="H16" s="66" t="n">
        <v>27</v>
      </c>
      <c r="I16" s="66" t="n">
        <v>31</v>
      </c>
      <c r="J16" s="67" t="n">
        <v>10</v>
      </c>
      <c r="K16" s="68" t="n">
        <v>33</v>
      </c>
      <c r="L16" s="66" t="inlineStr">
        <is>
          <t>73</t>
        </is>
      </c>
      <c r="M16" s="66" t="inlineStr">
        <is>
          <t>170</t>
        </is>
      </c>
      <c r="N16" s="66" t="inlineStr">
        <is>
          <t>91</t>
        </is>
      </c>
      <c r="O16" s="66" t="inlineStr">
        <is>
          <t>735</t>
        </is>
      </c>
      <c r="P16" s="66" t="inlineStr">
        <is>
          <t>(5)</t>
        </is>
      </c>
      <c r="Q16" s="66" t="inlineStr">
        <is>
          <t>22</t>
        </is>
      </c>
      <c r="R16" s="66" t="inlineStr">
        <is>
          <t>86</t>
        </is>
      </c>
      <c r="S16" s="67" t="inlineStr">
        <is>
          <t>(43)</t>
        </is>
      </c>
      <c r="T16" s="68" t="inlineStr">
        <is>
          <t>(43)</t>
        </is>
      </c>
      <c r="U16" s="70" t="n">
        <v>2</v>
      </c>
      <c r="V16" s="70" t="n">
        <v>4</v>
      </c>
      <c r="W16" s="70" t="n">
        <v>4</v>
      </c>
      <c r="X16" s="70" t="n">
        <v>5</v>
      </c>
      <c r="Y16" s="70" t="n">
        <v>3</v>
      </c>
      <c r="Z16" s="70" t="n">
        <v>3</v>
      </c>
      <c r="AA16" s="70" t="n">
        <v>4</v>
      </c>
      <c r="AB16" s="67" t="n">
        <v>1</v>
      </c>
      <c r="AC16" s="68" t="n">
        <v>3</v>
      </c>
      <c r="AD16" s="54" t="n"/>
    </row>
    <row r="17" ht="50" customHeight="1" s="116">
      <c r="B17" s="85" t="inlineStr">
        <is>
          <t>ROW</t>
        </is>
      </c>
      <c r="C17" s="71" t="n">
        <v>131</v>
      </c>
      <c r="D17" s="72" t="n">
        <v>172</v>
      </c>
      <c r="E17" s="72" t="n">
        <v>73</v>
      </c>
      <c r="F17" s="72" t="n">
        <v>90</v>
      </c>
      <c r="G17" s="72" t="n">
        <v>111</v>
      </c>
      <c r="H17" s="72" t="n">
        <v>124</v>
      </c>
      <c r="I17" s="72" t="n">
        <v>78</v>
      </c>
      <c r="J17" s="66" t="n">
        <v>99</v>
      </c>
      <c r="K17" s="69" t="n">
        <v>110</v>
      </c>
      <c r="L17" s="72" t="inlineStr">
        <is>
          <t>14</t>
        </is>
      </c>
      <c r="M17" s="72" t="inlineStr">
        <is>
          <t>64</t>
        </is>
      </c>
      <c r="N17" s="72" t="inlineStr">
        <is>
          <t>(62)</t>
        </is>
      </c>
      <c r="O17" s="72" t="inlineStr">
        <is>
          <t>(41)</t>
        </is>
      </c>
      <c r="P17" s="72" t="inlineStr">
        <is>
          <t>17</t>
        </is>
      </c>
      <c r="Q17" s="72" t="inlineStr">
        <is>
          <t>9</t>
        </is>
      </c>
      <c r="R17" s="72" t="inlineStr">
        <is>
          <t>(2)</t>
        </is>
      </c>
      <c r="S17" s="66" t="inlineStr">
        <is>
          <t>(3)</t>
        </is>
      </c>
      <c r="T17" s="69" t="inlineStr">
        <is>
          <t>(3)</t>
        </is>
      </c>
      <c r="U17" s="73" t="n">
        <v>10</v>
      </c>
      <c r="V17" s="73" t="n">
        <v>13</v>
      </c>
      <c r="W17" s="73" t="n">
        <v>8</v>
      </c>
      <c r="X17" s="73" t="n">
        <v>9</v>
      </c>
      <c r="Y17" s="73" t="n">
        <v>11</v>
      </c>
      <c r="Z17" s="73" t="n">
        <v>15</v>
      </c>
      <c r="AA17" s="73" t="n">
        <v>10</v>
      </c>
      <c r="AB17" s="66" t="n">
        <v>8</v>
      </c>
      <c r="AC17" s="69" t="n">
        <v>11</v>
      </c>
      <c r="AD17" s="54" t="n"/>
    </row>
    <row r="18" ht="50" customHeight="1" s="116">
      <c r="B18" s="75" t="inlineStr">
        <is>
          <t>Total</t>
        </is>
      </c>
      <c r="C18" s="76" t="n">
        <v>1353</v>
      </c>
      <c r="D18" s="77" t="n">
        <v>1294</v>
      </c>
      <c r="E18" s="77" t="n">
        <v>941</v>
      </c>
      <c r="F18" s="77" t="n">
        <v>957</v>
      </c>
      <c r="G18" s="77" t="n">
        <v>983</v>
      </c>
      <c r="H18" s="77" t="n">
        <v>824</v>
      </c>
      <c r="I18" s="77" t="n">
        <v>799</v>
      </c>
      <c r="J18" s="78" t="n">
        <v>1171</v>
      </c>
      <c r="K18" s="79" t="n">
        <v>1040</v>
      </c>
      <c r="L18" s="77" t="inlineStr">
        <is>
          <t>2</t>
        </is>
      </c>
      <c r="M18" s="77" t="inlineStr">
        <is>
          <t>10</t>
        </is>
      </c>
      <c r="N18" s="77" t="inlineStr">
        <is>
          <t>(23)</t>
        </is>
      </c>
      <c r="O18" s="77" t="inlineStr">
        <is>
          <t>(10)</t>
        </is>
      </c>
      <c r="P18" s="77" t="inlineStr">
        <is>
          <t>17</t>
        </is>
      </c>
      <c r="Q18" s="77" t="inlineStr">
        <is>
          <t>(9)</t>
        </is>
      </c>
      <c r="R18" s="77" t="inlineStr">
        <is>
          <t>(4)</t>
        </is>
      </c>
      <c r="S18" s="78" t="inlineStr">
        <is>
          <t>32</t>
        </is>
      </c>
      <c r="T18" s="79" t="inlineStr">
        <is>
          <t>32</t>
        </is>
      </c>
      <c r="U18" s="80" t="n">
        <v>100</v>
      </c>
      <c r="V18" s="80" t="n">
        <v>100</v>
      </c>
      <c r="W18" s="80" t="n">
        <v>100</v>
      </c>
      <c r="X18" s="80" t="n">
        <v>100</v>
      </c>
      <c r="Y18" s="80" t="n">
        <v>100</v>
      </c>
      <c r="Z18" s="80" t="n">
        <v>100</v>
      </c>
      <c r="AA18" s="80" t="n">
        <v>100</v>
      </c>
      <c r="AB18" s="78" t="n">
        <v>100</v>
      </c>
      <c r="AC18" s="79" t="n">
        <v>100</v>
      </c>
      <c r="AD18" s="81" t="n"/>
    </row>
  </sheetData>
  <mergeCells count="3">
    <mergeCell ref="C2:K2"/>
    <mergeCell ref="U2:AC2"/>
    <mergeCell ref="L2:T2"/>
  </mergeCells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Blad3">
    <outlinePr summaryBelow="1" summaryRight="1"/>
    <pageSetUpPr/>
  </sheetPr>
  <dimension ref="B5:K28"/>
  <sheetViews>
    <sheetView zoomScale="88" zoomScaleNormal="161" workbookViewId="0">
      <selection activeCell="L31" sqref="L31"/>
    </sheetView>
  </sheetViews>
  <sheetFormatPr baseColWidth="10" defaultColWidth="8.83203125" defaultRowHeight="16"/>
  <cols>
    <col width="30.5" customWidth="1" style="116" min="2" max="2"/>
    <col width="35.6640625" customWidth="1" style="116" min="3" max="3"/>
    <col width="9.33203125" bestFit="1" customWidth="1" style="116" min="7" max="7"/>
  </cols>
  <sheetData>
    <row r="5">
      <c r="B5" t="inlineStr">
        <is>
          <t>Metric</t>
        </is>
      </c>
      <c r="C5" t="inlineStr">
        <is>
          <t>Year</t>
        </is>
      </c>
      <c r="D5" t="inlineStr">
        <is>
          <t>32</t>
        </is>
      </c>
      <c r="E5" t="inlineStr">
        <is>
          <t>33</t>
        </is>
      </c>
      <c r="F5" t="inlineStr">
        <is>
          <t>34</t>
        </is>
      </c>
      <c r="G5" t="inlineStr">
        <is>
          <t>35</t>
        </is>
      </c>
      <c r="H5" t="inlineStr">
        <is>
          <t>36</t>
        </is>
      </c>
      <c r="I5" t="inlineStr">
        <is>
          <t>37</t>
        </is>
      </c>
      <c r="J5" t="inlineStr">
        <is>
          <t>38</t>
        </is>
      </c>
      <c r="K5" t="inlineStr">
        <is>
          <t>39</t>
        </is>
      </c>
    </row>
    <row r="6">
      <c r="B6" t="inlineStr">
        <is>
          <t>AOV New Customers (ex. VAT)</t>
        </is>
      </c>
      <c r="C6" t="inlineStr">
        <is>
          <t>Last Year</t>
        </is>
      </c>
      <c r="D6" s="89" t="n">
        <v>1354</v>
      </c>
      <c r="E6" s="89" t="n">
        <v>1332</v>
      </c>
      <c r="F6" s="89" t="n">
        <v>1474</v>
      </c>
      <c r="G6" s="89" t="n">
        <v>1541</v>
      </c>
      <c r="H6" s="89" t="n">
        <v>1627</v>
      </c>
      <c r="I6" s="89" t="n">
        <v>1729</v>
      </c>
      <c r="J6" s="89" t="n">
        <v>1570</v>
      </c>
      <c r="K6" s="89" t="n">
        <v>1722</v>
      </c>
    </row>
    <row r="7">
      <c r="B7" t="inlineStr">
        <is>
          <t>AOV New Customers (ex. VAT)</t>
        </is>
      </c>
      <c r="C7" t="inlineStr">
        <is>
          <t>Current Year</t>
        </is>
      </c>
      <c r="D7" s="89" t="n">
        <v>1456</v>
      </c>
      <c r="E7" s="89" t="n">
        <v>1369</v>
      </c>
      <c r="F7" s="89" t="n">
        <v>1646</v>
      </c>
      <c r="G7" s="89" t="n">
        <v>1403</v>
      </c>
      <c r="H7" s="89" t="n">
        <v>1352</v>
      </c>
      <c r="I7" s="89" t="n">
        <v>1483</v>
      </c>
      <c r="J7" s="89" t="n">
        <v>1565</v>
      </c>
      <c r="K7" s="89" t="n">
        <v>1669</v>
      </c>
    </row>
    <row r="8">
      <c r="B8" t="inlineStr">
        <is>
          <t>AOV Returning Customers (ex. VAT)</t>
        </is>
      </c>
      <c r="C8" t="inlineStr">
        <is>
          <t>Last Year</t>
        </is>
      </c>
      <c r="D8" s="89" t="n">
        <v>1668</v>
      </c>
      <c r="E8" s="89" t="n">
        <v>1603</v>
      </c>
      <c r="F8" s="89" t="n">
        <v>1909</v>
      </c>
      <c r="G8" s="89" t="n">
        <v>1985</v>
      </c>
      <c r="H8" s="89" t="n">
        <v>1718</v>
      </c>
      <c r="I8" s="89" t="n">
        <v>1843</v>
      </c>
      <c r="J8" s="89" t="n">
        <v>1790</v>
      </c>
      <c r="K8" s="89" t="n">
        <v>1842</v>
      </c>
    </row>
    <row r="9">
      <c r="B9" t="inlineStr">
        <is>
          <t>AOV Returning Customers (ex. VAT)</t>
        </is>
      </c>
      <c r="C9" t="inlineStr">
        <is>
          <t>Current Year</t>
        </is>
      </c>
      <c r="D9" s="89" t="n">
        <v>1912</v>
      </c>
      <c r="E9" s="89" t="n">
        <v>1572</v>
      </c>
      <c r="F9" s="89" t="n">
        <v>1835</v>
      </c>
      <c r="G9" s="89" t="n">
        <v>1993</v>
      </c>
      <c r="H9" s="89" t="n">
        <v>1769</v>
      </c>
      <c r="I9" s="89" t="n">
        <v>1901</v>
      </c>
      <c r="J9" s="89" t="n">
        <v>1908</v>
      </c>
      <c r="K9" s="89" t="n">
        <v>1758</v>
      </c>
    </row>
    <row r="10">
      <c r="B10" t="inlineStr">
        <is>
          <t>COS%</t>
        </is>
      </c>
      <c r="C10" t="inlineStr">
        <is>
          <t>Last Year</t>
        </is>
      </c>
      <c r="D10" s="92" t="n">
        <v>0.19</v>
      </c>
      <c r="E10" s="92" t="n">
        <v>0.21</v>
      </c>
      <c r="F10" s="92" t="n">
        <v>0.21</v>
      </c>
      <c r="G10" s="92" t="n">
        <v>0.22</v>
      </c>
      <c r="H10" s="92" t="n">
        <v>0.13</v>
      </c>
      <c r="I10" s="92" t="n">
        <v>0.22</v>
      </c>
      <c r="J10" s="92" t="n">
        <v>0.17</v>
      </c>
      <c r="K10" s="92" t="n">
        <v>0.22</v>
      </c>
    </row>
    <row r="11">
      <c r="B11" t="inlineStr">
        <is>
          <t>COS%</t>
        </is>
      </c>
      <c r="C11" t="inlineStr">
        <is>
          <t>Current Year</t>
        </is>
      </c>
      <c r="D11" s="92" t="n">
        <v>0</v>
      </c>
      <c r="E11" s="92" t="n">
        <v>0</v>
      </c>
      <c r="F11" s="92" t="n">
        <v>0</v>
      </c>
      <c r="G11" s="92" t="n">
        <v>0</v>
      </c>
      <c r="H11" s="92" t="n">
        <v>0</v>
      </c>
      <c r="I11" s="92" t="n">
        <v>0</v>
      </c>
      <c r="J11" s="92" t="n">
        <v>0</v>
      </c>
      <c r="K11" s="92" t="n">
        <v>0</v>
      </c>
    </row>
    <row r="12">
      <c r="B12" t="inlineStr">
        <is>
          <t>Conversion Rate (%)</t>
        </is>
      </c>
      <c r="C12" t="inlineStr">
        <is>
          <t>Last Year</t>
        </is>
      </c>
      <c r="D12" s="161" t="n">
        <v>0.022</v>
      </c>
      <c r="E12" s="161" t="n">
        <v>0.021</v>
      </c>
      <c r="F12" s="161" t="n">
        <v>0.022</v>
      </c>
      <c r="G12" s="161" t="n">
        <v>0.017</v>
      </c>
      <c r="H12" s="161" t="n">
        <v>0.021</v>
      </c>
      <c r="I12" s="161" t="n">
        <v>0.018</v>
      </c>
      <c r="J12" s="161" t="n">
        <v>0.021</v>
      </c>
      <c r="K12" s="161" t="n">
        <v>0.02</v>
      </c>
    </row>
    <row r="13">
      <c r="B13" t="inlineStr">
        <is>
          <t>Conversion Rate (%)</t>
        </is>
      </c>
      <c r="C13" t="inlineStr">
        <is>
          <t>Current Year</t>
        </is>
      </c>
      <c r="D13" s="161" t="n">
        <v>0.028</v>
      </c>
      <c r="E13" s="161" t="n">
        <v>0.032</v>
      </c>
      <c r="F13" s="161" t="n">
        <v>0.022</v>
      </c>
      <c r="G13" s="161" t="n">
        <v>0.025</v>
      </c>
      <c r="H13" s="161" t="n">
        <v>0.026</v>
      </c>
      <c r="I13" s="161" t="n">
        <v>0.025</v>
      </c>
      <c r="J13" s="161" t="n">
        <v>0.018</v>
      </c>
      <c r="K13" s="161" t="n">
        <v>0.027</v>
      </c>
    </row>
    <row r="14">
      <c r="B14" t="inlineStr">
        <is>
          <t>New Customers</t>
        </is>
      </c>
      <c r="C14" t="inlineStr">
        <is>
          <t>Last Year</t>
        </is>
      </c>
      <c r="D14" s="89" t="n">
        <v>373</v>
      </c>
      <c r="E14" s="89" t="n">
        <v>338</v>
      </c>
      <c r="F14" s="89" t="n">
        <v>331</v>
      </c>
      <c r="G14" s="89" t="n">
        <v>269</v>
      </c>
      <c r="H14" s="89" t="n">
        <v>215</v>
      </c>
      <c r="I14" s="89" t="n">
        <v>162</v>
      </c>
      <c r="J14" s="89" t="n">
        <v>182</v>
      </c>
      <c r="K14" s="89" t="n">
        <v>186</v>
      </c>
    </row>
    <row r="15">
      <c r="B15" t="inlineStr">
        <is>
          <t>New Customers</t>
        </is>
      </c>
      <c r="C15" t="inlineStr">
        <is>
          <t>Current Year</t>
        </is>
      </c>
      <c r="D15" s="89" t="n">
        <v>334</v>
      </c>
      <c r="E15" s="89" t="n">
        <v>332</v>
      </c>
      <c r="F15" s="89" t="n">
        <v>229</v>
      </c>
      <c r="G15" s="89" t="n">
        <v>223</v>
      </c>
      <c r="H15" s="89" t="n">
        <v>241</v>
      </c>
      <c r="I15" s="89" t="n">
        <v>172</v>
      </c>
      <c r="J15" s="89" t="n">
        <v>148</v>
      </c>
      <c r="K15" s="89" t="n">
        <v>203</v>
      </c>
    </row>
    <row r="16">
      <c r="B16" t="inlineStr">
        <is>
          <t>Online Media Spend</t>
        </is>
      </c>
      <c r="C16" t="inlineStr">
        <is>
          <t>Last Year</t>
        </is>
      </c>
      <c r="D16" s="89" t="n">
        <v>252</v>
      </c>
      <c r="E16" s="89" t="n">
        <v>249</v>
      </c>
      <c r="F16" s="89" t="n">
        <v>260</v>
      </c>
      <c r="G16" s="89" t="n">
        <v>239</v>
      </c>
      <c r="H16" s="89" t="n">
        <v>113</v>
      </c>
      <c r="I16" s="89" t="n">
        <v>195</v>
      </c>
      <c r="J16" s="89" t="n">
        <v>143</v>
      </c>
      <c r="K16" s="89" t="n">
        <v>197</v>
      </c>
    </row>
    <row r="17">
      <c r="B17" t="inlineStr">
        <is>
          <t>Online Media Spend</t>
        </is>
      </c>
      <c r="C17" t="inlineStr">
        <is>
          <t>Current Year</t>
        </is>
      </c>
      <c r="D17" s="89" t="n">
        <v>0</v>
      </c>
      <c r="E17" s="89" t="n">
        <v>0</v>
      </c>
      <c r="F17" s="89" t="n">
        <v>0</v>
      </c>
      <c r="G17" s="89" t="n">
        <v>0</v>
      </c>
      <c r="H17" s="89" t="n">
        <v>0</v>
      </c>
      <c r="I17" s="89" t="n">
        <v>0</v>
      </c>
      <c r="J17" s="89" t="n">
        <v>0</v>
      </c>
      <c r="K17" s="89" t="n">
        <v>0</v>
      </c>
    </row>
    <row r="18">
      <c r="B18" t="inlineStr">
        <is>
          <t>Returning Customers</t>
        </is>
      </c>
      <c r="C18" t="inlineStr">
        <is>
          <t>Last Year</t>
        </is>
      </c>
      <c r="D18" s="89" t="n">
        <v>491</v>
      </c>
      <c r="E18" s="89" t="n">
        <v>451</v>
      </c>
      <c r="F18" s="89" t="n">
        <v>383</v>
      </c>
      <c r="G18" s="89" t="n">
        <v>328</v>
      </c>
      <c r="H18" s="89" t="n">
        <v>287</v>
      </c>
      <c r="I18" s="89" t="n">
        <v>341</v>
      </c>
      <c r="J18" s="89" t="n">
        <v>307</v>
      </c>
      <c r="K18" s="89" t="n">
        <v>309</v>
      </c>
    </row>
    <row r="19">
      <c r="B19" t="inlineStr">
        <is>
          <t>Returning Customers</t>
        </is>
      </c>
      <c r="C19" t="inlineStr">
        <is>
          <t>Current Year</t>
        </is>
      </c>
      <c r="D19" s="89" t="n">
        <v>453</v>
      </c>
      <c r="E19" s="89" t="n">
        <v>534</v>
      </c>
      <c r="F19" s="89" t="n">
        <v>307</v>
      </c>
      <c r="G19" s="89" t="n">
        <v>323</v>
      </c>
      <c r="H19" s="89" t="n">
        <v>371</v>
      </c>
      <c r="I19" s="89" t="n">
        <v>299</v>
      </c>
      <c r="J19" s="89" t="n">
        <v>297</v>
      </c>
      <c r="K19" s="89" t="n">
        <v>473</v>
      </c>
    </row>
    <row r="20">
      <c r="B20" t="inlineStr">
        <is>
          <t>Sessions</t>
        </is>
      </c>
      <c r="C20" t="inlineStr">
        <is>
          <t>Last Year</t>
        </is>
      </c>
      <c r="D20" s="162" t="n">
        <v>40.3</v>
      </c>
      <c r="E20" s="162" t="n">
        <v>39.8</v>
      </c>
      <c r="F20" s="162" t="n">
        <v>33.5</v>
      </c>
      <c r="G20" s="162" t="n">
        <v>36</v>
      </c>
      <c r="H20" s="162" t="n">
        <v>24.9</v>
      </c>
      <c r="I20" s="162" t="n">
        <v>29.3</v>
      </c>
      <c r="J20" s="162" t="n">
        <v>23.7</v>
      </c>
      <c r="K20" s="162" t="n">
        <v>25.5</v>
      </c>
    </row>
    <row r="21">
      <c r="B21" t="inlineStr">
        <is>
          <t>Sessions</t>
        </is>
      </c>
      <c r="C21" t="inlineStr">
        <is>
          <t>Current Year</t>
        </is>
      </c>
      <c r="D21" s="162" t="n">
        <v>28.6</v>
      </c>
      <c r="E21" s="162" t="n">
        <v>27.4</v>
      </c>
      <c r="F21" s="162" t="n">
        <v>24.7</v>
      </c>
      <c r="G21" s="162" t="n">
        <v>22.5</v>
      </c>
      <c r="H21" s="162" t="n">
        <v>23.9</v>
      </c>
      <c r="I21" s="162" t="n">
        <v>19.1</v>
      </c>
      <c r="J21" s="162" t="n">
        <v>25.2</v>
      </c>
      <c r="K21" s="162" t="n">
        <v>24.9</v>
      </c>
    </row>
    <row r="22">
      <c r="B22" t="inlineStr">
        <is>
          <t>nCAC</t>
        </is>
      </c>
      <c r="C22" t="inlineStr">
        <is>
          <t>Last Year</t>
        </is>
      </c>
      <c r="D22" s="89" t="n">
        <v>474</v>
      </c>
      <c r="E22" s="89" t="n">
        <v>516</v>
      </c>
      <c r="F22" s="89" t="n">
        <v>549</v>
      </c>
      <c r="G22" s="89" t="n">
        <v>621</v>
      </c>
      <c r="H22" s="89" t="n">
        <v>369</v>
      </c>
      <c r="I22" s="89" t="n">
        <v>844</v>
      </c>
      <c r="J22" s="89" t="n">
        <v>550</v>
      </c>
      <c r="K22" s="89" t="n">
        <v>742</v>
      </c>
    </row>
    <row r="23">
      <c r="B23" t="inlineStr">
        <is>
          <t>nCAC</t>
        </is>
      </c>
      <c r="C23" t="inlineStr">
        <is>
          <t>Current Year</t>
        </is>
      </c>
      <c r="D23" s="89" t="n">
        <v>0</v>
      </c>
      <c r="E23" s="89" t="n">
        <v>0</v>
      </c>
      <c r="F23" s="89" t="n">
        <v>0</v>
      </c>
      <c r="G23" s="89" t="n">
        <v>0</v>
      </c>
      <c r="H23" s="89" t="n">
        <v>0</v>
      </c>
      <c r="I23" s="89" t="n">
        <v>0</v>
      </c>
      <c r="J23" s="89" t="n">
        <v>0</v>
      </c>
      <c r="K23" s="89" t="n">
        <v>0</v>
      </c>
    </row>
    <row r="26">
      <c r="D26" s="86" t="n"/>
      <c r="E26" s="86" t="n"/>
      <c r="F26" s="86" t="n"/>
      <c r="G26" s="86" t="n"/>
      <c r="H26" s="86" t="n"/>
      <c r="I26" s="86" t="n"/>
      <c r="J26" s="86" t="n"/>
      <c r="K26" s="86" t="n"/>
    </row>
    <row r="27">
      <c r="G27" s="163" t="n"/>
    </row>
    <row r="28">
      <c r="D28" s="87" t="n"/>
      <c r="E28" s="87" t="n"/>
      <c r="F28" s="87" t="n"/>
      <c r="G28" s="87" t="n"/>
      <c r="H28" s="87" t="n"/>
      <c r="I28" s="87" t="n"/>
      <c r="J28" s="87" t="n"/>
      <c r="K28" s="87" t="n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Blad4">
    <outlinePr summaryBelow="1" summaryRight="1"/>
    <pageSetUpPr/>
  </sheetPr>
  <dimension ref="B5:L15"/>
  <sheetViews>
    <sheetView topLeftCell="B6" workbookViewId="0">
      <selection activeCell="F17" sqref="F17"/>
    </sheetView>
  </sheetViews>
  <sheetFormatPr baseColWidth="10" defaultRowHeight="16"/>
  <cols>
    <col width="33.33203125" customWidth="1" style="116" min="2" max="2"/>
    <col width="26.33203125" customWidth="1" style="116" min="3" max="3"/>
    <col width="18.6640625" customWidth="1" style="116" min="4" max="4"/>
    <col width="31.33203125" customWidth="1" style="116" min="5" max="5"/>
    <col width="19" customWidth="1" style="116" min="6" max="6"/>
  </cols>
  <sheetData>
    <row r="5">
      <c r="B5" t="inlineStr">
        <is>
          <t>Metric</t>
        </is>
      </c>
      <c r="C5" t="inlineStr">
        <is>
          <t>Customer Type</t>
        </is>
      </c>
      <c r="D5" t="inlineStr">
        <is>
          <t>Year</t>
        </is>
      </c>
      <c r="E5" t="inlineStr">
        <is>
          <t>32</t>
        </is>
      </c>
      <c r="F5" t="inlineStr">
        <is>
          <t>33</t>
        </is>
      </c>
      <c r="G5" t="inlineStr">
        <is>
          <t>34</t>
        </is>
      </c>
      <c r="H5" t="inlineStr">
        <is>
          <t>35</t>
        </is>
      </c>
      <c r="I5" t="inlineStr">
        <is>
          <t>36</t>
        </is>
      </c>
      <c r="J5" t="inlineStr">
        <is>
          <t>37</t>
        </is>
      </c>
      <c r="K5" t="inlineStr">
        <is>
          <t>38</t>
        </is>
      </c>
      <c r="L5" t="inlineStr">
        <is>
          <t>39</t>
        </is>
      </c>
    </row>
    <row r="6">
      <c r="B6" t="inlineStr">
        <is>
          <t>Contribution</t>
        </is>
      </c>
      <c r="C6" t="inlineStr">
        <is>
          <t>New Customers</t>
        </is>
      </c>
      <c r="D6" s="89" t="inlineStr">
        <is>
          <t>Last Year</t>
        </is>
      </c>
      <c r="E6" s="89" t="n">
        <v>101.319</v>
      </c>
      <c r="F6" s="89" t="n">
        <v>92.821</v>
      </c>
      <c r="G6" s="89" t="n">
        <v>125.662</v>
      </c>
      <c r="H6" s="89" t="n">
        <v>99.221</v>
      </c>
      <c r="I6" s="89" t="n">
        <v>139.353</v>
      </c>
      <c r="J6" s="89" t="n">
        <v>35.835</v>
      </c>
      <c r="K6" s="89" t="n">
        <v>77.48099999999999</v>
      </c>
      <c r="L6" s="89" t="n">
        <v>62.115</v>
      </c>
    </row>
    <row r="7">
      <c r="B7" t="inlineStr">
        <is>
          <t>Contribution</t>
        </is>
      </c>
      <c r="C7" t="inlineStr">
        <is>
          <t>New Customers</t>
        </is>
      </c>
      <c r="D7" s="89" t="inlineStr">
        <is>
          <t>Current Year</t>
        </is>
      </c>
      <c r="E7" s="89" t="n">
        <v>289.735</v>
      </c>
      <c r="F7" s="89" t="n">
        <v>261.685</v>
      </c>
      <c r="G7" s="89" t="n">
        <v>247.488</v>
      </c>
      <c r="H7" s="89" t="n">
        <v>208.719</v>
      </c>
      <c r="I7" s="89" t="n">
        <v>216.394</v>
      </c>
      <c r="J7" s="89" t="n">
        <v>170.271</v>
      </c>
      <c r="K7" s="89" t="n">
        <v>151.883</v>
      </c>
      <c r="L7" s="89" t="n">
        <v>221.509</v>
      </c>
    </row>
    <row r="8">
      <c r="B8" t="inlineStr">
        <is>
          <t>Contribution</t>
        </is>
      </c>
      <c r="C8" t="inlineStr">
        <is>
          <t>Returning Customers</t>
        </is>
      </c>
      <c r="D8" s="89" t="inlineStr">
        <is>
          <t>Last Year</t>
        </is>
      </c>
      <c r="E8" s="89" t="n">
        <v>375.363</v>
      </c>
      <c r="F8" s="89" t="n">
        <v>354.646</v>
      </c>
      <c r="G8" s="89" t="n">
        <v>382.66</v>
      </c>
      <c r="H8" s="89" t="n">
        <v>346.597</v>
      </c>
      <c r="I8" s="89" t="n">
        <v>274.293</v>
      </c>
      <c r="J8" s="89" t="n">
        <v>328.496</v>
      </c>
      <c r="K8" s="89" t="n">
        <v>298.788</v>
      </c>
      <c r="L8" s="89" t="n">
        <v>296.569</v>
      </c>
    </row>
    <row r="9">
      <c r="B9" t="inlineStr">
        <is>
          <t>Contribution</t>
        </is>
      </c>
      <c r="C9" t="inlineStr">
        <is>
          <t>Returning Customers</t>
        </is>
      </c>
      <c r="D9" s="89" t="inlineStr">
        <is>
          <t>Current Year</t>
        </is>
      </c>
      <c r="E9" s="89" t="n">
        <v>516.123</v>
      </c>
      <c r="F9" s="89" t="n">
        <v>483.227</v>
      </c>
      <c r="G9" s="89" t="n">
        <v>369.895</v>
      </c>
      <c r="H9" s="89" t="n">
        <v>429.548</v>
      </c>
      <c r="I9" s="89" t="n">
        <v>435.809</v>
      </c>
      <c r="J9" s="89" t="n">
        <v>379.246</v>
      </c>
      <c r="K9" s="89" t="n">
        <v>371.469</v>
      </c>
      <c r="L9" s="89" t="n">
        <v>543.5069999999999</v>
      </c>
    </row>
    <row r="10">
      <c r="B10" t="inlineStr">
        <is>
          <t>Contribution</t>
        </is>
      </c>
      <c r="C10" t="inlineStr">
        <is>
          <t>Total</t>
        </is>
      </c>
      <c r="D10" t="inlineStr">
        <is>
          <t>Last Year</t>
        </is>
      </c>
      <c r="E10" s="89" t="n">
        <v>476.682</v>
      </c>
      <c r="F10" s="89" t="n">
        <v>447.467</v>
      </c>
      <c r="G10" s="89" t="n">
        <v>508.322</v>
      </c>
      <c r="H10" s="89" t="n">
        <v>445.817</v>
      </c>
      <c r="I10" s="89" t="n">
        <v>413.645</v>
      </c>
      <c r="J10" s="89" t="n">
        <v>364.331</v>
      </c>
      <c r="K10" s="89" t="n">
        <v>376.269</v>
      </c>
      <c r="L10" s="89" t="n">
        <v>358.684</v>
      </c>
    </row>
    <row r="11">
      <c r="B11" t="inlineStr">
        <is>
          <t>Contribution</t>
        </is>
      </c>
      <c r="C11" t="inlineStr">
        <is>
          <t>Total</t>
        </is>
      </c>
      <c r="D11" t="inlineStr">
        <is>
          <t>Current Year</t>
        </is>
      </c>
      <c r="E11" s="89" t="n">
        <v>805.8579999999999</v>
      </c>
      <c r="F11" s="89" t="n">
        <v>744.9109999999999</v>
      </c>
      <c r="G11" s="89" t="n">
        <v>617.3819999999999</v>
      </c>
      <c r="H11" s="89" t="n">
        <v>638.268</v>
      </c>
      <c r="I11" s="89" t="n">
        <v>652.203</v>
      </c>
      <c r="J11" s="89" t="n">
        <v>549.5170000000001</v>
      </c>
      <c r="K11" s="89" t="n">
        <v>523.352</v>
      </c>
      <c r="L11" s="89" t="n">
        <v>765.016</v>
      </c>
    </row>
    <row r="12">
      <c r="B12" t="inlineStr">
        <is>
          <t>Gross Revenue</t>
        </is>
      </c>
      <c r="C12" t="inlineStr">
        <is>
          <t>New Customers</t>
        </is>
      </c>
      <c r="D12" t="inlineStr">
        <is>
          <t>Last Year</t>
        </is>
      </c>
      <c r="E12" s="89" t="n">
        <v>504.934</v>
      </c>
      <c r="F12" s="89" t="n">
        <v>450.09</v>
      </c>
      <c r="G12" s="89" t="n">
        <v>487.944</v>
      </c>
      <c r="H12" s="89" t="n">
        <v>414.471</v>
      </c>
      <c r="I12" s="89" t="n">
        <v>349.85</v>
      </c>
      <c r="J12" s="89" t="n">
        <v>280.129</v>
      </c>
      <c r="K12" s="89" t="n">
        <v>285.725</v>
      </c>
      <c r="L12" s="89" t="n">
        <v>320.242</v>
      </c>
    </row>
    <row r="13">
      <c r="B13" t="inlineStr">
        <is>
          <t>Gross Revenue</t>
        </is>
      </c>
      <c r="C13" t="inlineStr">
        <is>
          <t>New Customers</t>
        </is>
      </c>
      <c r="D13" t="inlineStr">
        <is>
          <t>Current Year</t>
        </is>
      </c>
      <c r="E13" s="89" t="n">
        <v>486.341</v>
      </c>
      <c r="F13" s="89" t="n">
        <v>454.502</v>
      </c>
      <c r="G13" s="89" t="n">
        <v>376.849</v>
      </c>
      <c r="H13" s="89" t="n">
        <v>312.859</v>
      </c>
      <c r="I13" s="89" t="n">
        <v>325.895</v>
      </c>
      <c r="J13" s="89" t="n">
        <v>255.144</v>
      </c>
      <c r="K13" s="89" t="n">
        <v>231.639</v>
      </c>
      <c r="L13" s="89" t="n">
        <v>338.81</v>
      </c>
    </row>
    <row r="14">
      <c r="B14" t="inlineStr">
        <is>
          <t>Gross Revenue</t>
        </is>
      </c>
      <c r="C14" t="inlineStr">
        <is>
          <t>Returning Customers</t>
        </is>
      </c>
      <c r="D14" t="inlineStr">
        <is>
          <t>Last Year</t>
        </is>
      </c>
      <c r="E14" s="89" t="n">
        <v>819.208</v>
      </c>
      <c r="F14" s="89" t="n">
        <v>722.987</v>
      </c>
      <c r="G14" s="89" t="n">
        <v>731.028</v>
      </c>
      <c r="H14" s="89" t="n">
        <v>650.96</v>
      </c>
      <c r="I14" s="89" t="n">
        <v>493.046</v>
      </c>
      <c r="J14" s="89" t="n">
        <v>628.326</v>
      </c>
      <c r="K14" s="89" t="n">
        <v>549.598</v>
      </c>
      <c r="L14" s="89" t="n">
        <v>569.199</v>
      </c>
    </row>
    <row r="15">
      <c r="B15" t="inlineStr">
        <is>
          <t>Gross Revenue</t>
        </is>
      </c>
      <c r="C15" t="inlineStr">
        <is>
          <t>Returning Customers</t>
        </is>
      </c>
      <c r="D15" t="inlineStr">
        <is>
          <t>Current Year</t>
        </is>
      </c>
      <c r="E15" s="89" t="n">
        <v>866.348</v>
      </c>
      <c r="F15" s="89" t="n">
        <v>839.285</v>
      </c>
      <c r="G15" s="89" t="n">
        <v>563.2380000000001</v>
      </c>
      <c r="H15" s="89" t="n">
        <v>643.871</v>
      </c>
      <c r="I15" s="89" t="n">
        <v>656.3390000000001</v>
      </c>
      <c r="J15" s="89" t="n">
        <v>568.2809999999999</v>
      </c>
      <c r="K15" s="89" t="n">
        <v>566.534</v>
      </c>
      <c r="L15" s="89" t="n">
        <v>831.322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Blad5">
    <outlinePr summaryBelow="1" summaryRight="1"/>
    <pageSetUpPr/>
  </sheetPr>
  <dimension ref="B5:K9"/>
  <sheetViews>
    <sheetView workbookViewId="0">
      <selection activeCell="O24" sqref="O24"/>
    </sheetView>
  </sheetViews>
  <sheetFormatPr baseColWidth="10" defaultRowHeight="16"/>
  <cols>
    <col width="24.33203125" customWidth="1" style="116" min="2" max="2"/>
  </cols>
  <sheetData>
    <row r="5">
      <c r="B5" t="inlineStr">
        <is>
          <t>Metric</t>
        </is>
      </c>
      <c r="C5" t="inlineStr">
        <is>
          <t>Year</t>
        </is>
      </c>
      <c r="D5" t="inlineStr">
        <is>
          <t>32</t>
        </is>
      </c>
      <c r="E5" t="inlineStr">
        <is>
          <t>33</t>
        </is>
      </c>
      <c r="F5" t="inlineStr">
        <is>
          <t>34</t>
        </is>
      </c>
      <c r="G5" t="inlineStr">
        <is>
          <t>35</t>
        </is>
      </c>
      <c r="H5" t="inlineStr">
        <is>
          <t>36</t>
        </is>
      </c>
      <c r="I5" t="inlineStr">
        <is>
          <t>37</t>
        </is>
      </c>
      <c r="J5" t="inlineStr">
        <is>
          <t>38</t>
        </is>
      </c>
      <c r="K5" t="inlineStr">
        <is>
          <t>39</t>
        </is>
      </c>
    </row>
    <row r="6">
      <c r="B6" t="inlineStr">
        <is>
          <t>Gross Revenue - MEN</t>
        </is>
      </c>
      <c r="C6" t="inlineStr">
        <is>
          <t>Last Year</t>
        </is>
      </c>
      <c r="D6" s="89" t="n">
        <v>1219.714</v>
      </c>
      <c r="E6" s="89" t="n">
        <v>1096.904</v>
      </c>
      <c r="F6" s="89" t="n">
        <v>1167.165</v>
      </c>
      <c r="G6" s="89" t="n">
        <v>979.3819999999999</v>
      </c>
      <c r="H6" s="89" t="n">
        <v>794.586</v>
      </c>
      <c r="I6" s="89" t="n">
        <v>872.819</v>
      </c>
      <c r="J6" s="89" t="n">
        <v>795.63</v>
      </c>
      <c r="K6" s="89" t="n">
        <v>835.351</v>
      </c>
    </row>
    <row r="7">
      <c r="B7" t="inlineStr">
        <is>
          <t>Gross Revenue - MEN</t>
        </is>
      </c>
      <c r="C7" t="inlineStr">
        <is>
          <t>Current Year</t>
        </is>
      </c>
      <c r="D7" s="89" t="n">
        <v>1296.441</v>
      </c>
      <c r="E7" s="89" t="n">
        <v>1251.654</v>
      </c>
      <c r="F7" s="89" t="n">
        <v>914.726</v>
      </c>
      <c r="G7" s="89" t="n">
        <v>914.183</v>
      </c>
      <c r="H7" s="89" t="n">
        <v>917.978</v>
      </c>
      <c r="I7" s="89" t="n">
        <v>776.258</v>
      </c>
      <c r="J7" s="89" t="n">
        <v>749.982</v>
      </c>
      <c r="K7" s="89" t="n">
        <v>1099.804</v>
      </c>
    </row>
    <row r="8">
      <c r="B8" t="inlineStr">
        <is>
          <t>Gross Revenue - WOMEN</t>
        </is>
      </c>
      <c r="C8" t="inlineStr">
        <is>
          <t>Last Year</t>
        </is>
      </c>
      <c r="D8" s="89" t="n">
        <v>104.428</v>
      </c>
      <c r="E8" s="89" t="n">
        <v>76.173</v>
      </c>
      <c r="F8" s="89" t="n">
        <v>51.808</v>
      </c>
      <c r="G8" s="89" t="n">
        <v>85.794</v>
      </c>
      <c r="H8" s="89" t="n">
        <v>48.309</v>
      </c>
      <c r="I8" s="89" t="n">
        <v>35.637</v>
      </c>
      <c r="J8" s="89" t="n">
        <v>39.267</v>
      </c>
      <c r="K8" s="89" t="n">
        <v>53.632</v>
      </c>
    </row>
    <row r="9">
      <c r="B9" t="inlineStr">
        <is>
          <t>Gross Revenue - WOMEN</t>
        </is>
      </c>
      <c r="C9" t="inlineStr">
        <is>
          <t>Current Year</t>
        </is>
      </c>
      <c r="D9" s="89" t="n">
        <v>56.249</v>
      </c>
      <c r="E9" s="89" t="n">
        <v>42.133</v>
      </c>
      <c r="F9" s="89" t="n">
        <v>25.081</v>
      </c>
      <c r="G9" s="89" t="n">
        <v>42.548</v>
      </c>
      <c r="H9" s="89" t="n">
        <v>64.255</v>
      </c>
      <c r="I9" s="89" t="n">
        <v>47.167</v>
      </c>
      <c r="J9" s="89" t="n">
        <v>48.191</v>
      </c>
      <c r="K9" s="89" t="n">
        <v>70.328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Blad6">
    <outlinePr summaryBelow="1" summaryRight="1"/>
    <pageSetUpPr/>
  </sheetPr>
  <dimension ref="B5:S21"/>
  <sheetViews>
    <sheetView zoomScale="83" workbookViewId="0">
      <selection activeCell="U34" sqref="U34"/>
    </sheetView>
  </sheetViews>
  <sheetFormatPr baseColWidth="10" defaultColWidth="8.83203125" defaultRowHeight="16"/>
  <cols>
    <col width="47.5" customWidth="1" style="116" min="2" max="2"/>
    <col width="18.1640625" customWidth="1" style="116" min="3" max="3"/>
  </cols>
  <sheetData>
    <row r="5">
      <c r="B5" t="inlineStr">
        <is>
          <t>Gender</t>
        </is>
      </c>
      <c r="C5" t="inlineStr">
        <is>
          <t>Category</t>
        </is>
      </c>
      <c r="D5" t="inlineStr">
        <is>
          <t>Year</t>
        </is>
      </c>
      <c r="E5" t="inlineStr">
        <is>
          <t>32</t>
        </is>
      </c>
      <c r="F5" t="inlineStr">
        <is>
          <t>33</t>
        </is>
      </c>
      <c r="G5" t="inlineStr">
        <is>
          <t>34</t>
        </is>
      </c>
      <c r="H5" t="inlineStr">
        <is>
          <t>35</t>
        </is>
      </c>
      <c r="I5" t="inlineStr">
        <is>
          <t>36</t>
        </is>
      </c>
      <c r="J5" t="inlineStr">
        <is>
          <t>37</t>
        </is>
      </c>
      <c r="K5" t="inlineStr">
        <is>
          <t>38</t>
        </is>
      </c>
      <c r="L5" t="inlineStr">
        <is>
          <t>39</t>
        </is>
      </c>
    </row>
    <row r="6">
      <c r="B6" t="inlineStr">
        <is>
          <t>MEN</t>
        </is>
      </c>
      <c r="C6" t="inlineStr">
        <is>
          <t>ACCESSORIES</t>
        </is>
      </c>
      <c r="D6" s="89" t="inlineStr">
        <is>
          <t>Last Year</t>
        </is>
      </c>
      <c r="E6" s="89" t="n">
        <v>1.4</v>
      </c>
      <c r="F6" s="89" t="n">
        <v>6.47</v>
      </c>
      <c r="G6" s="89" t="n">
        <v>0</v>
      </c>
      <c r="H6" s="89" t="n">
        <v>1.791</v>
      </c>
      <c r="I6" s="89" t="n">
        <v>1.353</v>
      </c>
      <c r="J6" s="89" t="n"/>
      <c r="K6" s="89" t="n"/>
      <c r="L6" s="89" t="n">
        <v>1.773</v>
      </c>
      <c r="M6" s="89" t="n"/>
      <c r="N6" s="89" t="n"/>
      <c r="O6" s="89" t="n"/>
      <c r="P6" s="89" t="n"/>
      <c r="Q6" s="89" t="n"/>
      <c r="R6" s="89" t="n"/>
      <c r="S6" s="89" t="n"/>
    </row>
    <row r="7">
      <c r="B7" t="inlineStr">
        <is>
          <t>MEN</t>
        </is>
      </c>
      <c r="C7" t="inlineStr">
        <is>
          <t>ACCESSORIES</t>
        </is>
      </c>
      <c r="D7" s="89" t="inlineStr">
        <is>
          <t>Current Year</t>
        </is>
      </c>
      <c r="E7" s="89" t="n">
        <v>4.709</v>
      </c>
      <c r="F7" s="89" t="n">
        <v>5.699</v>
      </c>
      <c r="G7" s="89" t="n">
        <v>1.095</v>
      </c>
      <c r="H7" s="89" t="n">
        <v>0.981</v>
      </c>
      <c r="I7" s="89" t="n">
        <v>1.28</v>
      </c>
      <c r="J7" s="89" t="n">
        <v>1.869</v>
      </c>
      <c r="K7" s="89" t="n">
        <v>2.979</v>
      </c>
      <c r="L7" s="89" t="n">
        <v>12.459</v>
      </c>
      <c r="M7" s="89" t="n"/>
      <c r="N7" s="89" t="n"/>
      <c r="O7" s="89" t="n"/>
      <c r="P7" s="89" t="n"/>
      <c r="Q7" s="89" t="n"/>
      <c r="R7" s="89" t="n"/>
      <c r="S7" s="89" t="n"/>
    </row>
    <row r="8">
      <c r="B8" t="inlineStr">
        <is>
          <t>MEN</t>
        </is>
      </c>
      <c r="C8" t="inlineStr">
        <is>
          <t>BOTTOMS</t>
        </is>
      </c>
      <c r="D8" s="89" t="inlineStr">
        <is>
          <t>Last Year</t>
        </is>
      </c>
      <c r="E8" s="89" t="n">
        <v>31.657</v>
      </c>
      <c r="F8" s="89" t="n">
        <v>17.215</v>
      </c>
      <c r="G8" s="89" t="n">
        <v>44.41</v>
      </c>
      <c r="H8" s="89" t="n">
        <v>9.02</v>
      </c>
      <c r="I8" s="89" t="n">
        <v>16.641</v>
      </c>
      <c r="J8" s="89" t="n">
        <v>14.412</v>
      </c>
      <c r="K8" s="89" t="n">
        <v>4.192</v>
      </c>
      <c r="L8" s="89" t="n">
        <v>17.58</v>
      </c>
      <c r="M8" s="89" t="n"/>
      <c r="N8" s="89" t="n"/>
      <c r="O8" s="89" t="n"/>
      <c r="P8" s="89" t="n"/>
      <c r="Q8" s="89" t="n"/>
      <c r="R8" s="89" t="n"/>
      <c r="S8" s="89" t="n"/>
    </row>
    <row r="9">
      <c r="B9" t="inlineStr">
        <is>
          <t>MEN</t>
        </is>
      </c>
      <c r="C9" t="inlineStr">
        <is>
          <t>BOTTOMS</t>
        </is>
      </c>
      <c r="D9" s="89" t="inlineStr">
        <is>
          <t>Current Year</t>
        </is>
      </c>
      <c r="E9" s="89" t="n">
        <v>56.345</v>
      </c>
      <c r="F9" s="89" t="n">
        <v>47.842</v>
      </c>
      <c r="G9" s="89" t="n">
        <v>8.913</v>
      </c>
      <c r="H9" s="89" t="n">
        <v>0.542</v>
      </c>
      <c r="I9" s="89" t="n">
        <v>7.128</v>
      </c>
      <c r="J9" s="89" t="n">
        <v>1.99</v>
      </c>
      <c r="K9" s="89" t="n">
        <v>31.149</v>
      </c>
      <c r="L9" s="89" t="n">
        <v>40.033</v>
      </c>
      <c r="M9" s="89" t="n"/>
      <c r="N9" s="89" t="n"/>
      <c r="O9" s="89" t="n"/>
      <c r="P9" s="89" t="n"/>
      <c r="Q9" s="89" t="n"/>
      <c r="R9" s="89" t="n"/>
      <c r="S9" s="89" t="n"/>
    </row>
    <row r="10">
      <c r="B10" t="inlineStr">
        <is>
          <t>MEN</t>
        </is>
      </c>
      <c r="C10" t="inlineStr">
        <is>
          <t>HOME</t>
        </is>
      </c>
      <c r="D10" s="89" t="inlineStr">
        <is>
          <t>Current Year</t>
        </is>
      </c>
      <c r="E10" s="89" t="n">
        <v>0</v>
      </c>
      <c r="F10" s="89" t="n">
        <v>0</v>
      </c>
      <c r="G10" s="89" t="n">
        <v>0</v>
      </c>
      <c r="H10" s="89" t="n">
        <v>5.12</v>
      </c>
      <c r="I10" s="89" t="n">
        <v>6.39</v>
      </c>
      <c r="J10" s="89" t="n">
        <v>9.202999999999999</v>
      </c>
      <c r="K10" s="89" t="n">
        <v>7.896</v>
      </c>
      <c r="L10" s="89" t="n">
        <v>2.696</v>
      </c>
      <c r="M10" s="89" t="n"/>
      <c r="N10" s="89" t="n"/>
      <c r="O10" s="89" t="n"/>
      <c r="P10" s="89" t="n"/>
      <c r="Q10" s="89" t="n"/>
      <c r="R10" s="89" t="n"/>
      <c r="S10" s="89" t="n"/>
    </row>
    <row r="11">
      <c r="B11" t="inlineStr">
        <is>
          <t>MEN</t>
        </is>
      </c>
      <c r="C11" t="inlineStr">
        <is>
          <t>RESORT</t>
        </is>
      </c>
      <c r="D11" s="89" t="inlineStr">
        <is>
          <t>Current Year</t>
        </is>
      </c>
      <c r="E11" s="89" t="n">
        <v>8.800000000000001</v>
      </c>
      <c r="F11" s="89" t="n">
        <v>2.191</v>
      </c>
      <c r="G11" s="89" t="n">
        <v>0</v>
      </c>
      <c r="H11" s="89" t="n">
        <v>0</v>
      </c>
      <c r="I11" s="89" t="n">
        <v>4.031</v>
      </c>
      <c r="J11" s="89" t="n">
        <v>0</v>
      </c>
      <c r="K11" s="89" t="n">
        <v>7.955</v>
      </c>
      <c r="L11" s="89" t="n">
        <v>3.919</v>
      </c>
      <c r="M11" s="89" t="n"/>
      <c r="N11" s="89" t="n"/>
      <c r="O11" s="89" t="n"/>
      <c r="P11" s="89" t="n"/>
      <c r="Q11" s="89" t="n"/>
      <c r="R11" s="89" t="n"/>
      <c r="S11" s="89" t="n"/>
    </row>
    <row r="12">
      <c r="B12" t="inlineStr">
        <is>
          <t>MEN</t>
        </is>
      </c>
      <c r="C12" t="inlineStr">
        <is>
          <t>SOCKS</t>
        </is>
      </c>
      <c r="D12" s="89" t="inlineStr">
        <is>
          <t>Last Year</t>
        </is>
      </c>
      <c r="E12" s="89" t="n">
        <v>61.918</v>
      </c>
      <c r="F12" s="89" t="n">
        <v>36.225</v>
      </c>
      <c r="G12" s="89" t="n">
        <v>44.924</v>
      </c>
      <c r="H12" s="89" t="n">
        <v>55.007</v>
      </c>
      <c r="I12" s="89" t="n">
        <v>42.26</v>
      </c>
      <c r="J12" s="89" t="n">
        <v>52.854</v>
      </c>
      <c r="K12" s="89" t="n">
        <v>49.336</v>
      </c>
      <c r="L12" s="89" t="n">
        <v>52.291</v>
      </c>
      <c r="M12" s="89" t="n"/>
      <c r="N12" s="89" t="n"/>
      <c r="O12" s="89" t="n"/>
      <c r="P12" s="89" t="n"/>
      <c r="Q12" s="89" t="n"/>
      <c r="R12" s="89" t="n"/>
      <c r="S12" s="89" t="n"/>
    </row>
    <row r="13">
      <c r="B13" t="inlineStr">
        <is>
          <t>MEN</t>
        </is>
      </c>
      <c r="C13" t="inlineStr">
        <is>
          <t>SOCKS</t>
        </is>
      </c>
      <c r="D13" s="89" t="inlineStr">
        <is>
          <t>Current Year</t>
        </is>
      </c>
      <c r="E13" s="89" t="n">
        <v>40.509</v>
      </c>
      <c r="F13" s="89" t="n">
        <v>65.042</v>
      </c>
      <c r="G13" s="89" t="n">
        <v>53.06</v>
      </c>
      <c r="H13" s="89" t="n">
        <v>39.66</v>
      </c>
      <c r="I13" s="89" t="n">
        <v>67.35599999999999</v>
      </c>
      <c r="J13" s="89" t="n">
        <v>48.046</v>
      </c>
      <c r="K13" s="89" t="n">
        <v>48.506</v>
      </c>
      <c r="L13" s="89" t="n">
        <v>50.057</v>
      </c>
      <c r="M13" s="89" t="n"/>
      <c r="N13" s="89" t="n"/>
      <c r="O13" s="89" t="n"/>
      <c r="P13" s="89" t="n"/>
      <c r="Q13" s="89" t="n"/>
      <c r="R13" s="89" t="n"/>
      <c r="S13" s="89" t="n"/>
    </row>
    <row r="14">
      <c r="B14" t="inlineStr">
        <is>
          <t>MEN</t>
        </is>
      </c>
      <c r="C14" t="inlineStr">
        <is>
          <t>SWIM</t>
        </is>
      </c>
      <c r="D14" s="89" t="inlineStr">
        <is>
          <t>Last Year</t>
        </is>
      </c>
      <c r="E14" s="89" t="n">
        <v>327.965</v>
      </c>
      <c r="F14" s="89" t="n">
        <v>243.213</v>
      </c>
      <c r="G14" s="89" t="n">
        <v>160.616</v>
      </c>
      <c r="H14" s="89" t="n">
        <v>68.392</v>
      </c>
      <c r="I14" s="89" t="n">
        <v>59.637</v>
      </c>
      <c r="J14" s="89" t="n">
        <v>41.672</v>
      </c>
      <c r="K14" s="89" t="n">
        <v>48.004</v>
      </c>
      <c r="L14" s="89" t="n">
        <v>38.311</v>
      </c>
      <c r="M14" s="89" t="n"/>
      <c r="N14" s="89" t="n"/>
      <c r="O14" s="89" t="n"/>
      <c r="P14" s="89" t="n"/>
      <c r="Q14" s="89" t="n"/>
      <c r="R14" s="89" t="n"/>
      <c r="S14" s="89" t="n"/>
    </row>
    <row r="15">
      <c r="B15" t="inlineStr">
        <is>
          <t>MEN</t>
        </is>
      </c>
      <c r="C15" t="inlineStr">
        <is>
          <t>SWIM</t>
        </is>
      </c>
      <c r="D15" s="89" t="inlineStr">
        <is>
          <t>Current Year</t>
        </is>
      </c>
      <c r="E15" s="89" t="n">
        <v>245.459</v>
      </c>
      <c r="F15" s="89" t="n">
        <v>202.528</v>
      </c>
      <c r="G15" s="89" t="n">
        <v>86.496</v>
      </c>
      <c r="H15" s="89" t="n">
        <v>62.217</v>
      </c>
      <c r="I15" s="89" t="n">
        <v>38.437</v>
      </c>
      <c r="J15" s="89" t="n">
        <v>36.127</v>
      </c>
      <c r="K15" s="89" t="n">
        <v>22.028</v>
      </c>
      <c r="L15" s="89" t="n">
        <v>20.614</v>
      </c>
      <c r="M15" s="89" t="n"/>
      <c r="N15" s="89" t="n"/>
      <c r="O15" s="89" t="n"/>
      <c r="P15" s="89" t="n"/>
      <c r="Q15" s="89" t="n"/>
      <c r="R15" s="89" t="n"/>
      <c r="S15" s="89" t="n"/>
    </row>
    <row r="16">
      <c r="B16" t="inlineStr">
        <is>
          <t>MEN</t>
        </is>
      </c>
      <c r="C16" t="inlineStr">
        <is>
          <t>TOPS</t>
        </is>
      </c>
      <c r="D16" s="89" t="inlineStr">
        <is>
          <t>Last Year</t>
        </is>
      </c>
      <c r="E16" s="89" t="n">
        <v>310.031</v>
      </c>
      <c r="F16" s="89" t="n">
        <v>261.838</v>
      </c>
      <c r="G16" s="89" t="n">
        <v>270.108</v>
      </c>
      <c r="H16" s="89" t="n">
        <v>290.741</v>
      </c>
      <c r="I16" s="89" t="n">
        <v>226.664</v>
      </c>
      <c r="J16" s="89" t="n">
        <v>224.597</v>
      </c>
      <c r="K16" s="89" t="n">
        <v>169.121</v>
      </c>
      <c r="L16" s="89" t="n">
        <v>209.433</v>
      </c>
      <c r="M16" s="89" t="n"/>
      <c r="N16" s="89" t="n"/>
      <c r="O16" s="89" t="n"/>
      <c r="P16" s="89" t="n"/>
      <c r="Q16" s="89" t="n"/>
      <c r="R16" s="89" t="n"/>
      <c r="S16" s="89" t="n"/>
    </row>
    <row r="17">
      <c r="B17" t="inlineStr">
        <is>
          <t>MEN</t>
        </is>
      </c>
      <c r="C17" t="inlineStr">
        <is>
          <t>TOPS</t>
        </is>
      </c>
      <c r="D17" s="89" t="inlineStr">
        <is>
          <t>Current Year</t>
        </is>
      </c>
      <c r="E17" s="89" t="n">
        <v>350.018</v>
      </c>
      <c r="F17" s="89" t="n">
        <v>292.149</v>
      </c>
      <c r="G17" s="89" t="n">
        <v>225.872</v>
      </c>
      <c r="H17" s="89" t="n">
        <v>308.121</v>
      </c>
      <c r="I17" s="89" t="n">
        <v>306.083</v>
      </c>
      <c r="J17" s="89" t="n">
        <v>248.58</v>
      </c>
      <c r="K17" s="89" t="n">
        <v>246.999</v>
      </c>
      <c r="L17" s="89" t="n">
        <v>326.894</v>
      </c>
      <c r="M17" s="89" t="n"/>
      <c r="N17" s="89" t="n"/>
      <c r="O17" s="89" t="n"/>
      <c r="P17" s="89" t="n"/>
      <c r="Q17" s="89" t="n"/>
      <c r="R17" s="89" t="n"/>
      <c r="S17" s="89" t="n"/>
    </row>
    <row r="18">
      <c r="B18" t="inlineStr">
        <is>
          <t>MEN</t>
        </is>
      </c>
      <c r="C18" t="inlineStr">
        <is>
          <t>UNDERWEAR</t>
        </is>
      </c>
      <c r="D18" s="89" t="inlineStr">
        <is>
          <t>Last Year</t>
        </is>
      </c>
      <c r="E18" s="89" t="n">
        <v>440.315</v>
      </c>
      <c r="F18" s="89" t="n">
        <v>513.466</v>
      </c>
      <c r="G18" s="89" t="n">
        <v>643.431</v>
      </c>
      <c r="H18" s="89" t="n">
        <v>541.932</v>
      </c>
      <c r="I18" s="89" t="n">
        <v>435.736</v>
      </c>
      <c r="J18" s="89" t="n">
        <v>526.9880000000001</v>
      </c>
      <c r="K18" s="89" t="n">
        <v>520.465</v>
      </c>
      <c r="L18" s="89" t="n">
        <v>512.556</v>
      </c>
      <c r="M18" s="89" t="n"/>
      <c r="N18" s="89" t="n"/>
      <c r="O18" s="89" t="n"/>
      <c r="P18" s="89" t="n"/>
      <c r="Q18" s="89" t="n"/>
      <c r="R18" s="89" t="n"/>
      <c r="S18" s="89" t="n"/>
    </row>
    <row r="19">
      <c r="B19" t="inlineStr">
        <is>
          <t>MEN</t>
        </is>
      </c>
      <c r="C19" t="inlineStr">
        <is>
          <t>UNDERWEAR</t>
        </is>
      </c>
      <c r="D19" s="89" t="inlineStr">
        <is>
          <t>Current Year</t>
        </is>
      </c>
      <c r="E19" s="89" t="n">
        <v>578.0549999999999</v>
      </c>
      <c r="F19" s="89" t="n">
        <v>627.042</v>
      </c>
      <c r="G19" s="89" t="n">
        <v>517.888</v>
      </c>
      <c r="H19" s="89" t="n">
        <v>488.787</v>
      </c>
      <c r="I19" s="89" t="n">
        <v>476.751</v>
      </c>
      <c r="J19" s="89" t="n">
        <v>428.891</v>
      </c>
      <c r="K19" s="89" t="n">
        <v>380.228</v>
      </c>
      <c r="L19" s="89" t="n">
        <v>642.86</v>
      </c>
      <c r="M19" s="89" t="n"/>
      <c r="N19" s="89" t="n"/>
      <c r="O19" s="89" t="n"/>
      <c r="P19" s="89" t="n"/>
      <c r="Q19" s="89" t="n"/>
      <c r="R19" s="89" t="n"/>
      <c r="S19" s="89" t="n"/>
    </row>
    <row r="20">
      <c r="D20" s="89" t="n"/>
      <c r="E20" s="89" t="n"/>
      <c r="F20" s="89" t="n"/>
      <c r="G20" s="89" t="n"/>
      <c r="H20" s="89" t="n"/>
      <c r="I20" s="89" t="n"/>
      <c r="J20" s="89" t="n"/>
      <c r="K20" s="89" t="n"/>
    </row>
    <row r="21">
      <c r="D21" s="89" t="n"/>
      <c r="E21" s="89" t="n"/>
      <c r="F21" s="89" t="n"/>
      <c r="G21" s="89" t="n"/>
      <c r="H21" s="89" t="n"/>
      <c r="I21" s="89" t="n"/>
      <c r="J21" s="89" t="n"/>
      <c r="K21" s="89" t="n"/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Blad7">
    <outlinePr summaryBelow="1" summaryRight="1"/>
    <pageSetUpPr/>
  </sheetPr>
  <dimension ref="B2:S17"/>
  <sheetViews>
    <sheetView zoomScale="75" workbookViewId="0">
      <selection activeCell="O28" sqref="O28"/>
    </sheetView>
  </sheetViews>
  <sheetFormatPr baseColWidth="10" defaultRowHeight="16"/>
  <cols>
    <col width="42.83203125" customWidth="1" style="116" min="2" max="2"/>
  </cols>
  <sheetData>
    <row r="1" ht="35" customHeight="1" s="116"/>
    <row r="2" ht="35" customHeight="1" s="116">
      <c r="C2" t="inlineStr">
        <is>
          <t>Feb 24th - Mar 2nd</t>
        </is>
      </c>
    </row>
    <row r="3" ht="30" customHeight="1" s="116"/>
    <row r="4" ht="30" customHeight="1" s="116">
      <c r="L4" t="inlineStr">
        <is>
          <t>February</t>
        </is>
      </c>
    </row>
    <row r="5" ht="30" customHeight="1" s="116">
      <c r="B5" t="inlineStr">
        <is>
          <t>Gender</t>
        </is>
      </c>
      <c r="C5" t="inlineStr">
        <is>
          <t>Category</t>
        </is>
      </c>
      <c r="D5" t="inlineStr">
        <is>
          <t>Year</t>
        </is>
      </c>
      <c r="E5" t="inlineStr">
        <is>
          <t>32</t>
        </is>
      </c>
      <c r="F5" t="inlineStr">
        <is>
          <t>33</t>
        </is>
      </c>
      <c r="G5" t="inlineStr">
        <is>
          <t>34</t>
        </is>
      </c>
      <c r="H5" t="inlineStr">
        <is>
          <t>35</t>
        </is>
      </c>
      <c r="I5" t="inlineStr">
        <is>
          <t>36</t>
        </is>
      </c>
      <c r="J5" t="inlineStr">
        <is>
          <t>37</t>
        </is>
      </c>
      <c r="K5" t="inlineStr">
        <is>
          <t>38</t>
        </is>
      </c>
      <c r="L5" t="inlineStr">
        <is>
          <t>39</t>
        </is>
      </c>
      <c r="M5" t="inlineStr">
        <is>
          <t>72,935</t>
        </is>
      </c>
      <c r="N5" t="inlineStr">
        <is>
          <t>58,248</t>
        </is>
      </c>
      <c r="O5" t="inlineStr">
        <is>
          <t>-</t>
        </is>
      </c>
      <c r="P5" t="inlineStr">
        <is>
          <t>(12.1%)</t>
        </is>
      </c>
      <c r="Q5" t="inlineStr">
        <is>
          <t>10.0%</t>
        </is>
      </c>
      <c r="R5" t="inlineStr">
        <is>
          <t>-</t>
        </is>
      </c>
      <c r="S5" t="inlineStr">
        <is>
          <t>-</t>
        </is>
      </c>
    </row>
    <row r="6" ht="30" customHeight="1" s="116">
      <c r="B6" t="inlineStr">
        <is>
          <t>WOMEN</t>
        </is>
      </c>
      <c r="C6" t="inlineStr">
        <is>
          <t>ACCESSORIES</t>
        </is>
      </c>
      <c r="D6" s="89" t="inlineStr">
        <is>
          <t>Last Year</t>
        </is>
      </c>
      <c r="E6" s="89" t="n">
        <v>1.4</v>
      </c>
      <c r="F6" s="89" t="n">
        <v>6.47</v>
      </c>
      <c r="G6" s="89" t="n">
        <v>0</v>
      </c>
      <c r="H6" s="89" t="n">
        <v>1.791</v>
      </c>
      <c r="I6" s="89" t="n">
        <v>1.353</v>
      </c>
      <c r="J6" s="89" t="n">
        <v>0</v>
      </c>
      <c r="K6" s="89" t="n">
        <v>0</v>
      </c>
      <c r="L6" s="89" t="n">
        <v>1.773</v>
      </c>
      <c r="M6" t="inlineStr">
        <is>
          <t>6,396</t>
        </is>
      </c>
      <c r="N6" t="inlineStr">
        <is>
          <t>4,108</t>
        </is>
      </c>
      <c r="O6" t="inlineStr">
        <is>
          <t>-</t>
        </is>
      </c>
      <c r="P6" t="inlineStr">
        <is>
          <t>(37.0%)</t>
        </is>
      </c>
      <c r="Q6" t="inlineStr">
        <is>
          <t>(1.9%)</t>
        </is>
      </c>
      <c r="R6" t="inlineStr">
        <is>
          <t>-</t>
        </is>
      </c>
      <c r="S6" t="inlineStr">
        <is>
          <t>-</t>
        </is>
      </c>
    </row>
    <row r="7" ht="30" customHeight="1" s="116">
      <c r="B7" t="inlineStr">
        <is>
          <t>WOMEN</t>
        </is>
      </c>
      <c r="C7" t="inlineStr">
        <is>
          <t>ACCESSORIES</t>
        </is>
      </c>
      <c r="D7" s="89" t="inlineStr">
        <is>
          <t>Current Year</t>
        </is>
      </c>
      <c r="E7" s="89" t="n">
        <v>4.709</v>
      </c>
      <c r="F7" s="89" t="n">
        <v>5.699</v>
      </c>
      <c r="G7" s="89" t="n">
        <v>1.095</v>
      </c>
      <c r="H7" s="89" t="n">
        <v>0.981</v>
      </c>
      <c r="I7" s="89" t="n">
        <v>1.28</v>
      </c>
      <c r="J7" s="89" t="n">
        <v>1.869</v>
      </c>
      <c r="K7" s="89" t="n">
        <v>2.979</v>
      </c>
      <c r="L7" s="89" t="n">
        <v>12.459</v>
      </c>
      <c r="M7" t="inlineStr">
        <is>
          <t>8.8%</t>
        </is>
      </c>
      <c r="N7" t="inlineStr">
        <is>
          <t>7.1%</t>
        </is>
      </c>
      <c r="O7" t="inlineStr">
        <is>
          <t>-</t>
        </is>
      </c>
      <c r="P7" t="inlineStr">
        <is>
          <t>(28.4%)</t>
        </is>
      </c>
      <c r="Q7" t="inlineStr">
        <is>
          <t>(11.3%)</t>
        </is>
      </c>
      <c r="R7" t="inlineStr">
        <is>
          <t>-</t>
        </is>
      </c>
      <c r="S7" t="inlineStr">
        <is>
          <t>-</t>
        </is>
      </c>
    </row>
    <row r="8" ht="30" customHeight="1" s="116">
      <c r="B8" t="inlineStr">
        <is>
          <t>WOMEN</t>
        </is>
      </c>
      <c r="C8" t="inlineStr">
        <is>
          <t>DRESSES</t>
        </is>
      </c>
      <c r="D8" s="89" t="inlineStr">
        <is>
          <t>Last Year</t>
        </is>
      </c>
      <c r="E8" s="89" t="n">
        <v>0</v>
      </c>
      <c r="F8" s="89" t="n">
        <v>1.548</v>
      </c>
      <c r="G8" s="89" t="n">
        <v>1.818</v>
      </c>
      <c r="H8" s="89" t="n">
        <v>3.01</v>
      </c>
      <c r="I8" s="89" t="n">
        <v>1.43</v>
      </c>
      <c r="J8" s="89" t="n">
        <v>0</v>
      </c>
      <c r="K8" s="89" t="n">
        <v>0</v>
      </c>
      <c r="L8" s="89" t="n">
        <v>1.315</v>
      </c>
      <c r="M8" t="inlineStr">
        <is>
          <t>66,539</t>
        </is>
      </c>
      <c r="N8" t="inlineStr">
        <is>
          <t>54,140</t>
        </is>
      </c>
      <c r="O8" t="inlineStr">
        <is>
          <t>-</t>
        </is>
      </c>
      <c r="P8" t="inlineStr">
        <is>
          <t>(9.7%)</t>
        </is>
      </c>
      <c r="Q8" t="inlineStr">
        <is>
          <t>10.9%</t>
        </is>
      </c>
      <c r="R8" t="inlineStr">
        <is>
          <t>-</t>
        </is>
      </c>
      <c r="S8" t="inlineStr">
        <is>
          <t>-</t>
        </is>
      </c>
    </row>
    <row r="9" ht="30" customHeight="1" s="116">
      <c r="B9" t="inlineStr">
        <is>
          <t>WOMEN</t>
        </is>
      </c>
      <c r="C9" t="inlineStr">
        <is>
          <t>DRESSES</t>
        </is>
      </c>
      <c r="D9" s="89" t="inlineStr">
        <is>
          <t>Current Year</t>
        </is>
      </c>
      <c r="E9" s="89" t="n">
        <v>1.029</v>
      </c>
      <c r="F9" s="89" t="n">
        <v>1.198</v>
      </c>
      <c r="G9" s="89" t="n">
        <v>0</v>
      </c>
      <c r="H9" s="89" t="n">
        <v>0</v>
      </c>
      <c r="I9" s="89" t="n">
        <v>0</v>
      </c>
      <c r="J9" s="89" t="n">
        <v>1.472</v>
      </c>
      <c r="K9" s="89" t="n">
        <v>0</v>
      </c>
      <c r="L9" s="89" t="n">
        <v>0.017</v>
      </c>
      <c r="M9" t="inlineStr">
        <is>
          <t>-</t>
        </is>
      </c>
      <c r="N9" t="inlineStr">
        <is>
          <t>-</t>
        </is>
      </c>
      <c r="O9" t="inlineStr">
        <is>
          <t>-</t>
        </is>
      </c>
      <c r="P9" t="inlineStr">
        <is>
          <t>-</t>
        </is>
      </c>
      <c r="Q9" t="inlineStr">
        <is>
          <t>-</t>
        </is>
      </c>
      <c r="R9" t="inlineStr">
        <is>
          <t>-</t>
        </is>
      </c>
      <c r="S9" t="inlineStr">
        <is>
          <t>-</t>
        </is>
      </c>
    </row>
    <row r="10" ht="30" customHeight="1" s="116">
      <c r="B10" t="inlineStr">
        <is>
          <t>WOMEN</t>
        </is>
      </c>
      <c r="C10" t="inlineStr">
        <is>
          <t>SOCKS</t>
        </is>
      </c>
      <c r="D10" s="89" t="inlineStr">
        <is>
          <t>Last Year</t>
        </is>
      </c>
      <c r="E10" s="89" t="n">
        <v>18.398</v>
      </c>
      <c r="F10" s="89" t="n">
        <v>12.094</v>
      </c>
      <c r="G10" s="89" t="n">
        <v>16.171</v>
      </c>
      <c r="H10" s="89" t="n">
        <v>16.657</v>
      </c>
      <c r="I10" s="89" t="n">
        <v>22.77</v>
      </c>
      <c r="J10" s="89" t="n">
        <v>20.725</v>
      </c>
      <c r="K10" s="89" t="n">
        <v>18.838</v>
      </c>
      <c r="L10" s="89" t="n">
        <v>14.099</v>
      </c>
      <c r="M10" t="inlineStr">
        <is>
          <t>-</t>
        </is>
      </c>
      <c r="N10" t="inlineStr">
        <is>
          <t>-</t>
        </is>
      </c>
      <c r="O10" t="inlineStr">
        <is>
          <t>-</t>
        </is>
      </c>
      <c r="P10" t="inlineStr">
        <is>
          <t>-</t>
        </is>
      </c>
      <c r="Q10" t="inlineStr">
        <is>
          <t>-</t>
        </is>
      </c>
      <c r="R10" t="inlineStr">
        <is>
          <t>-</t>
        </is>
      </c>
      <c r="S10" t="inlineStr">
        <is>
          <t>-</t>
        </is>
      </c>
    </row>
    <row r="11" ht="30" customHeight="1" s="116">
      <c r="B11" t="inlineStr">
        <is>
          <t>WOMEN</t>
        </is>
      </c>
      <c r="C11" t="inlineStr">
        <is>
          <t>SOCKS</t>
        </is>
      </c>
      <c r="D11" s="89" t="inlineStr">
        <is>
          <t>Current Year</t>
        </is>
      </c>
      <c r="E11" s="89" t="n">
        <v>14.758</v>
      </c>
      <c r="F11" s="89" t="n">
        <v>29.496</v>
      </c>
      <c r="G11" s="89" t="n">
        <v>21.132</v>
      </c>
      <c r="H11" s="89" t="n">
        <v>12.922</v>
      </c>
      <c r="I11" s="89" t="n">
        <v>22.723</v>
      </c>
      <c r="J11" s="89" t="n">
        <v>20.81</v>
      </c>
      <c r="K11" s="89" t="n">
        <v>21.59</v>
      </c>
      <c r="L11" s="89" t="n">
        <v>22.696</v>
      </c>
      <c r="M11" t="inlineStr">
        <is>
          <t>5,182</t>
        </is>
      </c>
      <c r="N11" t="inlineStr">
        <is>
          <t>5,689</t>
        </is>
      </c>
      <c r="O11" t="inlineStr">
        <is>
          <t>-</t>
        </is>
      </c>
      <c r="P11" t="inlineStr">
        <is>
          <t>(11.2%)</t>
        </is>
      </c>
      <c r="Q11" t="inlineStr">
        <is>
          <t>(19.1%)</t>
        </is>
      </c>
      <c r="R11" t="inlineStr">
        <is>
          <t>-</t>
        </is>
      </c>
      <c r="S11" t="inlineStr">
        <is>
          <t>-</t>
        </is>
      </c>
    </row>
    <row r="12" ht="30" customHeight="1" s="116">
      <c r="B12" t="inlineStr">
        <is>
          <t>WOMEN</t>
        </is>
      </c>
      <c r="C12" t="inlineStr">
        <is>
          <t>SWIM</t>
        </is>
      </c>
      <c r="D12" s="89" t="inlineStr">
        <is>
          <t>Last Year</t>
        </is>
      </c>
      <c r="E12" s="89" t="n">
        <v>33.207</v>
      </c>
      <c r="F12" s="89" t="n">
        <v>16.049</v>
      </c>
      <c r="G12" s="89" t="n">
        <v>9.455</v>
      </c>
      <c r="H12" s="89" t="n">
        <v>0.793</v>
      </c>
      <c r="I12" s="89" t="n">
        <v>4.44</v>
      </c>
      <c r="J12" s="89" t="n">
        <v>1.41</v>
      </c>
      <c r="K12" s="89" t="n">
        <v>2.091</v>
      </c>
      <c r="L12" s="89" t="n">
        <v>0.609</v>
      </c>
      <c r="M12" t="inlineStr">
        <is>
          <t>-</t>
        </is>
      </c>
      <c r="N12" t="inlineStr">
        <is>
          <t>-</t>
        </is>
      </c>
      <c r="O12" t="inlineStr">
        <is>
          <t>-</t>
        </is>
      </c>
      <c r="P12" t="inlineStr">
        <is>
          <t>-</t>
        </is>
      </c>
      <c r="Q12" t="inlineStr">
        <is>
          <t>-</t>
        </is>
      </c>
      <c r="R12" t="inlineStr">
        <is>
          <t>-</t>
        </is>
      </c>
      <c r="S12" t="inlineStr">
        <is>
          <t>-</t>
        </is>
      </c>
    </row>
    <row r="13" ht="30" customHeight="1" s="116">
      <c r="B13" t="inlineStr">
        <is>
          <t>WOMEN</t>
        </is>
      </c>
      <c r="C13" t="inlineStr">
        <is>
          <t>SWIM</t>
        </is>
      </c>
      <c r="D13" s="89" t="inlineStr">
        <is>
          <t>Current Year</t>
        </is>
      </c>
      <c r="E13" s="89" t="n">
        <v>3.483</v>
      </c>
      <c r="F13" s="89" t="n">
        <v>5.849</v>
      </c>
      <c r="G13" s="89" t="n">
        <v>0</v>
      </c>
      <c r="H13" s="89" t="n">
        <v>2.105</v>
      </c>
      <c r="I13" s="89" t="n">
        <v>2.771</v>
      </c>
      <c r="J13" s="89" t="n">
        <v>2.155</v>
      </c>
      <c r="K13" s="89" t="n">
        <v>0</v>
      </c>
      <c r="L13" s="89" t="n">
        <v>3.259</v>
      </c>
      <c r="M13" t="inlineStr">
        <is>
          <t>-</t>
        </is>
      </c>
      <c r="N13" t="inlineStr">
        <is>
          <t>-</t>
        </is>
      </c>
      <c r="O13" t="inlineStr">
        <is>
          <t>-</t>
        </is>
      </c>
      <c r="P13" t="inlineStr">
        <is>
          <t>-</t>
        </is>
      </c>
      <c r="Q13" t="inlineStr">
        <is>
          <t>-</t>
        </is>
      </c>
      <c r="R13" t="inlineStr">
        <is>
          <t>-</t>
        </is>
      </c>
      <c r="S13" t="inlineStr">
        <is>
          <t>-</t>
        </is>
      </c>
    </row>
    <row r="14" ht="30" customHeight="1" s="116">
      <c r="B14" t="inlineStr">
        <is>
          <t>WOMEN</t>
        </is>
      </c>
      <c r="C14" t="inlineStr">
        <is>
          <t>TOPS</t>
        </is>
      </c>
      <c r="D14" s="89" t="inlineStr">
        <is>
          <t>Last Year</t>
        </is>
      </c>
      <c r="E14" s="89" t="n">
        <v>14.814</v>
      </c>
      <c r="F14" s="89" t="n">
        <v>16.143</v>
      </c>
      <c r="G14" s="89" t="n">
        <v>11.095</v>
      </c>
      <c r="H14" s="89" t="n">
        <v>3.607</v>
      </c>
      <c r="I14" s="89" t="n">
        <v>14.342</v>
      </c>
      <c r="J14" s="89" t="n">
        <v>11.598</v>
      </c>
      <c r="K14" s="89" t="n">
        <v>14.029</v>
      </c>
      <c r="L14" s="89" t="n">
        <v>16.979</v>
      </c>
      <c r="M14" t="inlineStr">
        <is>
          <t>15391</t>
        </is>
      </c>
      <c r="N14" t="inlineStr">
        <is>
          <t>12949</t>
        </is>
      </c>
      <c r="O14" t="inlineStr">
        <is>
          <t>-</t>
        </is>
      </c>
      <c r="P14" t="inlineStr">
        <is>
          <t>(5.0%)</t>
        </is>
      </c>
      <c r="Q14" t="inlineStr">
        <is>
          <t>13.0%</t>
        </is>
      </c>
      <c r="R14" t="inlineStr">
        <is>
          <t>-</t>
        </is>
      </c>
      <c r="S14" t="inlineStr">
        <is>
          <t>-</t>
        </is>
      </c>
    </row>
    <row r="15" ht="30" customHeight="1" s="116">
      <c r="B15" t="inlineStr">
        <is>
          <t>WOMEN</t>
        </is>
      </c>
      <c r="C15" t="inlineStr">
        <is>
          <t>TOPS</t>
        </is>
      </c>
      <c r="D15" s="89" t="inlineStr">
        <is>
          <t>Current Year</t>
        </is>
      </c>
      <c r="E15" s="89" t="n">
        <v>13.488</v>
      </c>
      <c r="F15" s="89" t="n">
        <v>17.796</v>
      </c>
      <c r="G15" s="89" t="n">
        <v>4.248</v>
      </c>
      <c r="H15" s="89" t="n">
        <v>17.435</v>
      </c>
      <c r="I15" s="89" t="n">
        <v>19.543</v>
      </c>
      <c r="J15" s="89" t="n">
        <v>14.294</v>
      </c>
      <c r="K15" s="89" t="n">
        <v>10.103</v>
      </c>
      <c r="L15" s="89" t="n">
        <v>23.33</v>
      </c>
      <c r="M15" t="inlineStr">
        <is>
          <t>17574</t>
        </is>
      </c>
      <c r="N15" t="inlineStr">
        <is>
          <t>17407</t>
        </is>
      </c>
      <c r="O15" t="inlineStr">
        <is>
          <t>-</t>
        </is>
      </c>
      <c r="P15" t="inlineStr">
        <is>
          <t>(18.6%)</t>
        </is>
      </c>
      <c r="Q15" t="inlineStr">
        <is>
          <t>(17.9%)</t>
        </is>
      </c>
      <c r="R15" t="inlineStr">
        <is>
          <t>-</t>
        </is>
      </c>
      <c r="S15" t="inlineStr">
        <is>
          <t>-</t>
        </is>
      </c>
    </row>
    <row r="16" ht="30" customHeight="1" s="116">
      <c r="B16" t="inlineStr">
        <is>
          <t>WOMEN</t>
        </is>
      </c>
      <c r="C16" t="inlineStr">
        <is>
          <t>UNDERWEAR</t>
        </is>
      </c>
      <c r="D16" t="inlineStr">
        <is>
          <t>Last Year</t>
        </is>
      </c>
      <c r="E16" s="89" t="n">
        <v>53.778</v>
      </c>
      <c r="F16" s="89" t="n">
        <v>41.246</v>
      </c>
      <c r="G16" s="89" t="n">
        <v>27.847</v>
      </c>
      <c r="H16" s="89" t="n">
        <v>75.66500000000001</v>
      </c>
      <c r="I16" s="89" t="n">
        <v>25.27</v>
      </c>
      <c r="J16" s="89" t="n">
        <v>22.217</v>
      </c>
      <c r="K16" s="89" t="n">
        <v>22.773</v>
      </c>
      <c r="L16" s="89" t="n">
        <v>34.205</v>
      </c>
      <c r="M16" t="inlineStr">
        <is>
          <t>15,938</t>
        </is>
      </c>
      <c r="N16" t="inlineStr">
        <is>
          <t>11,938</t>
        </is>
      </c>
      <c r="O16" t="inlineStr">
        <is>
          <t>-</t>
        </is>
      </c>
      <c r="P16" t="inlineStr">
        <is>
          <t>(35.3%)</t>
        </is>
      </c>
      <c r="Q16" t="inlineStr">
        <is>
          <t>(13.6%)</t>
        </is>
      </c>
      <c r="R16" t="inlineStr">
        <is>
          <t>-</t>
        </is>
      </c>
      <c r="S16" t="inlineStr">
        <is>
          <t>-</t>
        </is>
      </c>
    </row>
    <row r="17" ht="30" customHeight="1" s="116">
      <c r="B17" t="inlineStr">
        <is>
          <t>WOMEN</t>
        </is>
      </c>
      <c r="C17" t="inlineStr">
        <is>
          <t>UNDERWEAR</t>
        </is>
      </c>
      <c r="D17" t="inlineStr">
        <is>
          <t>Current Year</t>
        </is>
      </c>
      <c r="E17" s="89" t="n">
        <v>32.789</v>
      </c>
      <c r="F17" s="89" t="n">
        <v>16.704</v>
      </c>
      <c r="G17" s="89" t="n">
        <v>16.894</v>
      </c>
      <c r="H17" s="89" t="n">
        <v>21.603</v>
      </c>
      <c r="I17" s="89" t="n">
        <v>40.578</v>
      </c>
      <c r="J17" s="89" t="n">
        <v>23.706</v>
      </c>
      <c r="K17" s="89" t="n">
        <v>36.644</v>
      </c>
      <c r="L17" s="89" t="n">
        <v>39.11</v>
      </c>
      <c r="M17" t="inlineStr">
        <is>
          <t>21.9%</t>
        </is>
      </c>
      <c r="N17" t="inlineStr">
        <is>
          <t>20.5%</t>
        </is>
      </c>
      <c r="O17" t="inlineStr">
        <is>
          <t>-</t>
        </is>
      </c>
      <c r="P17" t="inlineStr">
        <is>
          <t>(26.3%)</t>
        </is>
      </c>
      <c r="Q17" t="inlineStr">
        <is>
          <t>(21.5%)</t>
        </is>
      </c>
      <c r="R17" t="inlineStr">
        <is>
          <t>-</t>
        </is>
      </c>
      <c r="S17" t="inlineStr">
        <is>
          <t>-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Blad8">
    <outlinePr summaryBelow="1" summaryRight="1"/>
    <pageSetUpPr/>
  </sheetPr>
  <dimension ref="B2:AD21"/>
  <sheetViews>
    <sheetView tabSelected="1" topLeftCell="A3" zoomScale="88" workbookViewId="0">
      <selection activeCell="C20" sqref="C20:AD20"/>
    </sheetView>
  </sheetViews>
  <sheetFormatPr baseColWidth="10" defaultRowHeight="16"/>
  <cols>
    <col width="10.83203125" customWidth="1" style="93" min="1" max="1"/>
    <col width="8" customWidth="1" style="114" min="2" max="2"/>
    <col width="16.83203125" bestFit="1" customWidth="1" style="114" min="3" max="3"/>
    <col width="7.6640625" customWidth="1" style="114" min="4" max="30"/>
    <col width="10.83203125" customWidth="1" style="93" min="31" max="67"/>
    <col width="10.83203125" customWidth="1" style="93" min="68" max="16384"/>
  </cols>
  <sheetData>
    <row r="1" ht="30" customHeight="1" s="116"/>
    <row r="2" ht="30" customHeight="1" s="116">
      <c r="C2" t="inlineStr">
        <is>
          <t>Feb 24th - Mar 2nd</t>
        </is>
      </c>
    </row>
    <row r="3" ht="30" customHeight="1" s="116"/>
    <row r="4" ht="30" customHeight="1" s="116">
      <c r="B4" s="108" t="n"/>
      <c r="D4" s="113" t="n"/>
      <c r="M4" s="113" t="n"/>
      <c r="V4" s="113" t="n"/>
    </row>
    <row r="5" ht="30" customHeight="1" s="116">
      <c r="B5" s="109" t="inlineStr">
        <is>
          <t>Gender</t>
        </is>
      </c>
      <c r="C5" s="153" t="inlineStr">
        <is>
          <t>Product Category</t>
        </is>
      </c>
      <c r="D5" s="122" t="inlineStr">
        <is>
          <t>32</t>
        </is>
      </c>
      <c r="E5" s="123" t="inlineStr">
        <is>
          <t>33</t>
        </is>
      </c>
      <c r="F5" s="123" t="inlineStr">
        <is>
          <t>34</t>
        </is>
      </c>
      <c r="G5" s="123" t="inlineStr">
        <is>
          <t>35</t>
        </is>
      </c>
      <c r="H5" s="123" t="inlineStr">
        <is>
          <t>36</t>
        </is>
      </c>
      <c r="I5" s="123" t="inlineStr">
        <is>
          <t>37</t>
        </is>
      </c>
      <c r="J5" s="123" t="inlineStr">
        <is>
          <t>38</t>
        </is>
      </c>
      <c r="K5" s="124" t="inlineStr">
        <is>
          <t>39</t>
        </is>
      </c>
      <c r="L5" s="125" t="inlineStr">
        <is>
          <t>8-week avg</t>
        </is>
      </c>
      <c r="M5" s="123" t="inlineStr">
        <is>
          <t>32</t>
        </is>
      </c>
      <c r="N5" s="123" t="inlineStr">
        <is>
          <t>33</t>
        </is>
      </c>
      <c r="O5" s="123" t="inlineStr">
        <is>
          <t>34</t>
        </is>
      </c>
      <c r="P5" s="123" t="inlineStr">
        <is>
          <t>35</t>
        </is>
      </c>
      <c r="Q5" s="123" t="inlineStr">
        <is>
          <t>36</t>
        </is>
      </c>
      <c r="R5" s="123" t="inlineStr">
        <is>
          <t>37</t>
        </is>
      </c>
      <c r="S5" s="123" t="inlineStr">
        <is>
          <t>38</t>
        </is>
      </c>
      <c r="T5" s="124" t="inlineStr">
        <is>
          <t>39</t>
        </is>
      </c>
      <c r="U5" s="125" t="inlineStr">
        <is>
          <t>8-week avg</t>
        </is>
      </c>
      <c r="V5" s="123" t="inlineStr">
        <is>
          <t>32</t>
        </is>
      </c>
      <c r="W5" s="123" t="inlineStr">
        <is>
          <t>33</t>
        </is>
      </c>
      <c r="X5" s="123" t="inlineStr">
        <is>
          <t>34</t>
        </is>
      </c>
      <c r="Y5" s="123" t="inlineStr">
        <is>
          <t>35</t>
        </is>
      </c>
      <c r="Z5" s="123" t="inlineStr">
        <is>
          <t>36</t>
        </is>
      </c>
      <c r="AA5" s="123" t="inlineStr">
        <is>
          <t>37</t>
        </is>
      </c>
      <c r="AB5" s="123" t="inlineStr">
        <is>
          <t>38</t>
        </is>
      </c>
      <c r="AC5" s="123" t="inlineStr">
        <is>
          <t>39</t>
        </is>
      </c>
      <c r="AD5" s="126" t="inlineStr">
        <is>
          <t>8-Week Avg</t>
        </is>
      </c>
    </row>
    <row r="6" ht="30" customHeight="1" s="116">
      <c r="B6" t="inlineStr">
        <is>
          <t>Men</t>
        </is>
      </c>
      <c r="C6" s="154" t="inlineStr">
        <is>
          <t>Underwear</t>
        </is>
      </c>
      <c r="D6" s="127" t="n">
        <v>578.0549999999999</v>
      </c>
      <c r="E6" s="128" t="n">
        <v>627.042</v>
      </c>
      <c r="F6" s="128" t="n">
        <v>518.168</v>
      </c>
      <c r="G6" s="128" t="n">
        <v>488.787</v>
      </c>
      <c r="H6" s="128" t="n">
        <v>476.751</v>
      </c>
      <c r="I6" s="128" t="n">
        <v>428.891</v>
      </c>
      <c r="J6" s="128" t="n">
        <v>380.228</v>
      </c>
      <c r="K6" s="129" t="n">
        <v>642.86</v>
      </c>
      <c r="L6" s="129" t="n">
        <v>517.598</v>
      </c>
      <c r="M6" s="130" t="inlineStr">
        <is>
          <t>31%</t>
        </is>
      </c>
      <c r="N6" s="130" t="inlineStr">
        <is>
          <t>22%</t>
        </is>
      </c>
      <c r="O6" s="130" t="inlineStr">
        <is>
          <t>(19%)</t>
        </is>
      </c>
      <c r="P6" s="130" t="inlineStr">
        <is>
          <t>(10%)</t>
        </is>
      </c>
      <c r="Q6" s="130" t="inlineStr">
        <is>
          <t>9%</t>
        </is>
      </c>
      <c r="R6" s="130" t="inlineStr">
        <is>
          <t>(19%)</t>
        </is>
      </c>
      <c r="S6" s="130" t="inlineStr">
        <is>
          <t>(27%)</t>
        </is>
      </c>
      <c r="T6" s="131" t="inlineStr">
        <is>
          <t>25%</t>
        </is>
      </c>
      <c r="U6" s="131" t="inlineStr">
        <is>
          <t>2%</t>
        </is>
      </c>
      <c r="V6" s="130" t="inlineStr">
        <is>
          <t>43%</t>
        </is>
      </c>
      <c r="W6" s="130" t="inlineStr">
        <is>
          <t>48%</t>
        </is>
      </c>
      <c r="X6" s="130" t="inlineStr">
        <is>
          <t>55%</t>
        </is>
      </c>
      <c r="Y6" s="130" t="inlineStr">
        <is>
          <t>51%</t>
        </is>
      </c>
      <c r="Z6" s="130" t="inlineStr">
        <is>
          <t>49%</t>
        </is>
      </c>
      <c r="AA6" s="130" t="inlineStr">
        <is>
          <t>52%</t>
        </is>
      </c>
      <c r="AB6" s="130" t="inlineStr">
        <is>
          <t>48%</t>
        </is>
      </c>
      <c r="AC6" s="131" t="inlineStr">
        <is>
          <t>55%</t>
        </is>
      </c>
      <c r="AD6" s="132" t="inlineStr">
        <is>
          <t>50%</t>
        </is>
      </c>
    </row>
    <row r="7" ht="30" customHeight="1" s="116">
      <c r="B7" t="inlineStr">
        <is>
          <t>Men</t>
        </is>
      </c>
      <c r="C7" s="154" t="inlineStr">
        <is>
          <t>Tops</t>
        </is>
      </c>
      <c r="D7" s="133" t="n">
        <v>350.018</v>
      </c>
      <c r="E7" s="134" t="n">
        <v>292.149</v>
      </c>
      <c r="F7" s="134" t="n">
        <v>225.872</v>
      </c>
      <c r="G7" s="134" t="n">
        <v>308.121</v>
      </c>
      <c r="H7" s="134" t="n">
        <v>306.083</v>
      </c>
      <c r="I7" s="134" t="n">
        <v>248.58</v>
      </c>
      <c r="J7" s="134" t="n">
        <v>246.999</v>
      </c>
      <c r="K7" s="128" t="n">
        <v>326.894</v>
      </c>
      <c r="L7" s="128" t="n">
        <v>288.09</v>
      </c>
      <c r="M7" s="135" t="inlineStr">
        <is>
          <t>13%</t>
        </is>
      </c>
      <c r="N7" s="135" t="inlineStr">
        <is>
          <t>12%</t>
        </is>
      </c>
      <c r="O7" s="135" t="inlineStr">
        <is>
          <t>(16%)</t>
        </is>
      </c>
      <c r="P7" s="135" t="inlineStr">
        <is>
          <t>6%</t>
        </is>
      </c>
      <c r="Q7" s="135" t="inlineStr">
        <is>
          <t>35%</t>
        </is>
      </c>
      <c r="R7" s="135" t="inlineStr">
        <is>
          <t>11%</t>
        </is>
      </c>
      <c r="S7" s="135" t="inlineStr">
        <is>
          <t>46%</t>
        </is>
      </c>
      <c r="T7" s="130" t="inlineStr">
        <is>
          <t>56%</t>
        </is>
      </c>
      <c r="U7" s="130" t="inlineStr">
        <is>
          <t>20%</t>
        </is>
      </c>
      <c r="V7" s="135" t="inlineStr">
        <is>
          <t>26%</t>
        </is>
      </c>
      <c r="W7" s="135" t="inlineStr">
        <is>
          <t>23%</t>
        </is>
      </c>
      <c r="X7" s="135" t="inlineStr">
        <is>
          <t>24%</t>
        </is>
      </c>
      <c r="Y7" s="135" t="inlineStr">
        <is>
          <t>32%</t>
        </is>
      </c>
      <c r="Z7" s="135" t="inlineStr">
        <is>
          <t>31%</t>
        </is>
      </c>
      <c r="AA7" s="135" t="inlineStr">
        <is>
          <t>30%</t>
        </is>
      </c>
      <c r="AB7" s="135" t="inlineStr">
        <is>
          <t>31%</t>
        </is>
      </c>
      <c r="AC7" s="130" t="inlineStr">
        <is>
          <t>28%</t>
        </is>
      </c>
      <c r="AD7" s="136" t="inlineStr">
        <is>
          <t>28%</t>
        </is>
      </c>
    </row>
    <row r="8" ht="30" customHeight="1" s="116">
      <c r="B8" t="inlineStr">
        <is>
          <t>Men</t>
        </is>
      </c>
      <c r="C8" s="154" t="inlineStr">
        <is>
          <t>Socks</t>
        </is>
      </c>
      <c r="D8" s="127" t="n">
        <v>40.509</v>
      </c>
      <c r="E8" s="128" t="n">
        <v>65.042</v>
      </c>
      <c r="F8" s="128" t="n">
        <v>53.06</v>
      </c>
      <c r="G8" s="128" t="n">
        <v>39.66</v>
      </c>
      <c r="H8" s="128" t="n">
        <v>67.35599999999999</v>
      </c>
      <c r="I8" s="128" t="n">
        <v>48.046</v>
      </c>
      <c r="J8" s="128" t="n">
        <v>48.506</v>
      </c>
      <c r="K8" s="129" t="n">
        <v>50.057</v>
      </c>
      <c r="L8" s="129" t="n">
        <v>51.53</v>
      </c>
      <c r="M8" s="130" t="inlineStr">
        <is>
          <t>(35%)</t>
        </is>
      </c>
      <c r="N8" s="130" t="inlineStr">
        <is>
          <t>80%</t>
        </is>
      </c>
      <c r="O8" s="130" t="inlineStr">
        <is>
          <t>18%</t>
        </is>
      </c>
      <c r="P8" s="130" t="inlineStr">
        <is>
          <t>(28%)</t>
        </is>
      </c>
      <c r="Q8" s="130" t="inlineStr">
        <is>
          <t>59%</t>
        </is>
      </c>
      <c r="R8" s="130" t="inlineStr">
        <is>
          <t>(9%)</t>
        </is>
      </c>
      <c r="S8" s="130" t="inlineStr">
        <is>
          <t>(2%)</t>
        </is>
      </c>
      <c r="T8" s="131" t="inlineStr">
        <is>
          <t>(4%)</t>
        </is>
      </c>
      <c r="U8" s="131" t="inlineStr">
        <is>
          <t>10%</t>
        </is>
      </c>
      <c r="V8" s="130" t="inlineStr">
        <is>
          <t>3%</t>
        </is>
      </c>
      <c r="W8" s="130" t="inlineStr">
        <is>
          <t>5%</t>
        </is>
      </c>
      <c r="X8" s="130" t="inlineStr">
        <is>
          <t>6%</t>
        </is>
      </c>
      <c r="Y8" s="130" t="inlineStr">
        <is>
          <t>4%</t>
        </is>
      </c>
      <c r="Z8" s="130" t="inlineStr">
        <is>
          <t>7%</t>
        </is>
      </c>
      <c r="AA8" s="130" t="inlineStr">
        <is>
          <t>6%</t>
        </is>
      </c>
      <c r="AB8" s="130" t="inlineStr">
        <is>
          <t>6%</t>
        </is>
      </c>
      <c r="AC8" s="131" t="inlineStr">
        <is>
          <t>4%</t>
        </is>
      </c>
      <c r="AD8" s="132" t="inlineStr">
        <is>
          <t>5%</t>
        </is>
      </c>
    </row>
    <row r="9" ht="30" customHeight="1" s="116">
      <c r="B9" t="inlineStr">
        <is>
          <t>Men</t>
        </is>
      </c>
      <c r="C9" s="154" t="inlineStr">
        <is>
          <t>Bottoms</t>
        </is>
      </c>
      <c r="D9" s="133" t="n">
        <v>56.345</v>
      </c>
      <c r="E9" s="134" t="n">
        <v>47.842</v>
      </c>
      <c r="F9" s="134" t="n">
        <v>8.913</v>
      </c>
      <c r="G9" s="134" t="n">
        <v>0.542</v>
      </c>
      <c r="H9" s="134" t="n">
        <v>7.128</v>
      </c>
      <c r="I9" s="134" t="n">
        <v>1.99</v>
      </c>
      <c r="J9" s="134" t="n">
        <v>31.149</v>
      </c>
      <c r="K9" s="128" t="n">
        <v>40.033</v>
      </c>
      <c r="L9" s="128" t="n">
        <v>24.243</v>
      </c>
      <c r="M9" s="135" t="inlineStr">
        <is>
          <t>78%</t>
        </is>
      </c>
      <c r="N9" s="135" t="inlineStr">
        <is>
          <t>178%</t>
        </is>
      </c>
      <c r="O9" s="135" t="inlineStr">
        <is>
          <t>(80%)</t>
        </is>
      </c>
      <c r="P9" s="135" t="inlineStr">
        <is>
          <t>(94%)</t>
        </is>
      </c>
      <c r="Q9" s="135" t="inlineStr">
        <is>
          <t>(57%)</t>
        </is>
      </c>
      <c r="R9" s="135" t="inlineStr">
        <is>
          <t>(86%)</t>
        </is>
      </c>
      <c r="S9" s="135" t="inlineStr">
        <is>
          <t>643%</t>
        </is>
      </c>
      <c r="T9" s="130" t="inlineStr">
        <is>
          <t>128%</t>
        </is>
      </c>
      <c r="U9" s="130" t="inlineStr">
        <is>
          <t>89%</t>
        </is>
      </c>
      <c r="V9" s="135" t="inlineStr">
        <is>
          <t>4%</t>
        </is>
      </c>
      <c r="W9" s="135" t="inlineStr">
        <is>
          <t>4%</t>
        </is>
      </c>
      <c r="X9" s="135" t="inlineStr">
        <is>
          <t>1%</t>
        </is>
      </c>
      <c r="Y9" s="135" t="inlineStr">
        <is>
          <t>-%</t>
        </is>
      </c>
      <c r="Z9" s="135" t="inlineStr">
        <is>
          <t>1%</t>
        </is>
      </c>
      <c r="AA9" s="135" t="inlineStr">
        <is>
          <t>-%</t>
        </is>
      </c>
      <c r="AB9" s="135" t="inlineStr">
        <is>
          <t>4%</t>
        </is>
      </c>
      <c r="AC9" s="130" t="inlineStr">
        <is>
          <t>3%</t>
        </is>
      </c>
      <c r="AD9" s="136" t="inlineStr">
        <is>
          <t>2%</t>
        </is>
      </c>
    </row>
    <row r="10" ht="30" customHeight="1" s="116">
      <c r="B10" t="inlineStr">
        <is>
          <t>Men</t>
        </is>
      </c>
      <c r="C10" s="154" t="inlineStr">
        <is>
          <t>Swim</t>
        </is>
      </c>
      <c r="D10" s="127" t="n">
        <v>245.459</v>
      </c>
      <c r="E10" s="128" t="n">
        <v>202.528</v>
      </c>
      <c r="F10" s="128" t="n">
        <v>86.496</v>
      </c>
      <c r="G10" s="128" t="n">
        <v>62.217</v>
      </c>
      <c r="H10" s="128" t="n">
        <v>38.437</v>
      </c>
      <c r="I10" s="128" t="n">
        <v>36.127</v>
      </c>
      <c r="J10" s="128" t="n">
        <v>22.028</v>
      </c>
      <c r="K10" s="129" t="n">
        <v>20.614</v>
      </c>
      <c r="L10" s="129" t="n">
        <v>89.238</v>
      </c>
      <c r="M10" s="130" t="inlineStr">
        <is>
          <t>(25%)</t>
        </is>
      </c>
      <c r="N10" s="130" t="inlineStr">
        <is>
          <t>(17%)</t>
        </is>
      </c>
      <c r="O10" s="130" t="inlineStr">
        <is>
          <t>(46%)</t>
        </is>
      </c>
      <c r="P10" s="130" t="inlineStr">
        <is>
          <t>(9%)</t>
        </is>
      </c>
      <c r="Q10" s="130" t="inlineStr">
        <is>
          <t>(36%)</t>
        </is>
      </c>
      <c r="R10" s="130" t="inlineStr">
        <is>
          <t>(13%)</t>
        </is>
      </c>
      <c r="S10" s="130" t="inlineStr">
        <is>
          <t>(54%)</t>
        </is>
      </c>
      <c r="T10" s="131" t="inlineStr">
        <is>
          <t>(46%)</t>
        </is>
      </c>
      <c r="U10" s="131" t="inlineStr">
        <is>
          <t>(31%)</t>
        </is>
      </c>
      <c r="V10" s="130" t="inlineStr">
        <is>
          <t>18%</t>
        </is>
      </c>
      <c r="W10" s="130" t="inlineStr">
        <is>
          <t>16%</t>
        </is>
      </c>
      <c r="X10" s="130" t="inlineStr">
        <is>
          <t>9%</t>
        </is>
      </c>
      <c r="Y10" s="130" t="inlineStr">
        <is>
          <t>7%</t>
        </is>
      </c>
      <c r="Z10" s="130" t="inlineStr">
        <is>
          <t>4%</t>
        </is>
      </c>
      <c r="AA10" s="130" t="inlineStr">
        <is>
          <t>4%</t>
        </is>
      </c>
      <c r="AB10" s="130" t="inlineStr">
        <is>
          <t>3%</t>
        </is>
      </c>
      <c r="AC10" s="131" t="inlineStr">
        <is>
          <t>2%</t>
        </is>
      </c>
      <c r="AD10" s="132" t="inlineStr">
        <is>
          <t>8%</t>
        </is>
      </c>
    </row>
    <row r="11" ht="30" customHeight="1" s="116">
      <c r="B11" t="inlineStr">
        <is>
          <t>Men</t>
        </is>
      </c>
      <c r="C11" s="154" t="inlineStr">
        <is>
          <t>Accessories</t>
        </is>
      </c>
      <c r="D11" s="133" t="n">
        <v>4.709</v>
      </c>
      <c r="E11" s="134" t="n">
        <v>5.699</v>
      </c>
      <c r="F11" s="134" t="n">
        <v>1.095</v>
      </c>
      <c r="G11" s="134" t="n">
        <v>0.981</v>
      </c>
      <c r="H11" s="134" t="n">
        <v>1.28</v>
      </c>
      <c r="I11" s="134" t="n">
        <v>1.869</v>
      </c>
      <c r="J11" s="134" t="n">
        <v>2.979</v>
      </c>
      <c r="K11" s="128" t="n">
        <v>12.459</v>
      </c>
      <c r="L11" s="128" t="n">
        <v>3.884</v>
      </c>
      <c r="M11" s="135" t="inlineStr">
        <is>
          <t>236%</t>
        </is>
      </c>
      <c r="N11" s="135" t="inlineStr">
        <is>
          <t>(12%)</t>
        </is>
      </c>
      <c r="O11" s="135" t="inlineStr">
        <is>
          <t>-</t>
        </is>
      </c>
      <c r="P11" s="135" t="inlineStr">
        <is>
          <t>(45%)</t>
        </is>
      </c>
      <c r="Q11" s="135" t="inlineStr">
        <is>
          <t>(5%)</t>
        </is>
      </c>
      <c r="R11" s="135" t="inlineStr">
        <is>
          <t>-</t>
        </is>
      </c>
      <c r="S11" s="135" t="inlineStr">
        <is>
          <t>-</t>
        </is>
      </c>
      <c r="T11" s="130" t="inlineStr">
        <is>
          <t>603%</t>
        </is>
      </c>
      <c r="U11" s="130" t="inlineStr">
        <is>
          <t>155%</t>
        </is>
      </c>
      <c r="V11" s="135" t="inlineStr">
        <is>
          <t>-%</t>
        </is>
      </c>
      <c r="W11" s="135" t="inlineStr">
        <is>
          <t>-%</t>
        </is>
      </c>
      <c r="X11" s="135" t="inlineStr">
        <is>
          <t>-%</t>
        </is>
      </c>
      <c r="Y11" s="135" t="inlineStr">
        <is>
          <t>-%</t>
        </is>
      </c>
      <c r="Z11" s="135" t="inlineStr">
        <is>
          <t>-%</t>
        </is>
      </c>
      <c r="AA11" s="135" t="inlineStr">
        <is>
          <t>-%</t>
        </is>
      </c>
      <c r="AB11" s="135" t="inlineStr">
        <is>
          <t>-%</t>
        </is>
      </c>
      <c r="AC11" s="130" t="inlineStr">
        <is>
          <t>1%</t>
        </is>
      </c>
      <c r="AD11" s="136" t="inlineStr">
        <is>
          <t>-%</t>
        </is>
      </c>
    </row>
    <row r="12" ht="30" customHeight="1" s="116">
      <c r="B12" t="inlineStr">
        <is>
          <t>Men</t>
        </is>
      </c>
      <c r="C12" s="154" t="inlineStr">
        <is>
          <t>Resort</t>
        </is>
      </c>
      <c r="D12" s="127" t="n">
        <v>8.800000000000001</v>
      </c>
      <c r="E12" s="128" t="n">
        <v>2.191</v>
      </c>
      <c r="F12" s="128" t="n">
        <v>0</v>
      </c>
      <c r="G12" s="128" t="n">
        <v>0</v>
      </c>
      <c r="H12" s="128" t="n">
        <v>4.031</v>
      </c>
      <c r="I12" s="128" t="n">
        <v>0</v>
      </c>
      <c r="J12" s="128" t="n">
        <v>7.955</v>
      </c>
      <c r="K12" s="129" t="n">
        <v>3.919</v>
      </c>
      <c r="L12" s="129" t="n">
        <v>3.362</v>
      </c>
      <c r="M12" s="130" t="inlineStr">
        <is>
          <t>-</t>
        </is>
      </c>
      <c r="N12" s="130" t="inlineStr">
        <is>
          <t>-</t>
        </is>
      </c>
      <c r="O12" s="130" t="inlineStr">
        <is>
          <t>-</t>
        </is>
      </c>
      <c r="P12" s="130" t="inlineStr">
        <is>
          <t>-</t>
        </is>
      </c>
      <c r="Q12" s="130" t="inlineStr">
        <is>
          <t>-</t>
        </is>
      </c>
      <c r="R12" s="130" t="inlineStr">
        <is>
          <t>-</t>
        </is>
      </c>
      <c r="S12" s="130" t="inlineStr">
        <is>
          <t>-</t>
        </is>
      </c>
      <c r="T12" s="131" t="inlineStr">
        <is>
          <t>-</t>
        </is>
      </c>
      <c r="U12" s="131" t="inlineStr">
        <is>
          <t>-</t>
        </is>
      </c>
      <c r="V12" s="130" t="inlineStr">
        <is>
          <t>-%</t>
        </is>
      </c>
      <c r="W12" s="130" t="inlineStr">
        <is>
          <t>-%</t>
        </is>
      </c>
      <c r="X12" s="130" t="inlineStr">
        <is>
          <t>-%</t>
        </is>
      </c>
      <c r="Y12" s="130" t="inlineStr">
        <is>
          <t>1%</t>
        </is>
      </c>
      <c r="Z12" s="130" t="inlineStr">
        <is>
          <t>1%</t>
        </is>
      </c>
      <c r="AA12" s="130" t="inlineStr">
        <is>
          <t>1%</t>
        </is>
      </c>
      <c r="AB12" s="130" t="inlineStr">
        <is>
          <t>1%</t>
        </is>
      </c>
      <c r="AC12" s="131" t="inlineStr">
        <is>
          <t>-%</t>
        </is>
      </c>
      <c r="AD12" s="132" t="inlineStr">
        <is>
          <t>-%</t>
        </is>
      </c>
    </row>
    <row r="13" ht="30" customFormat="1" customHeight="1" s="94">
      <c r="B13" t="inlineStr">
        <is>
          <t>Men</t>
        </is>
      </c>
      <c r="C13" s="154" t="inlineStr">
        <is>
          <t>Home</t>
        </is>
      </c>
      <c r="D13" s="137" t="n">
        <v>0</v>
      </c>
      <c r="E13" s="138" t="n">
        <v>0</v>
      </c>
      <c r="F13" s="138" t="n">
        <v>0</v>
      </c>
      <c r="G13" s="138" t="n">
        <v>5.12</v>
      </c>
      <c r="H13" s="138" t="n">
        <v>6.39</v>
      </c>
      <c r="I13" s="138" t="n">
        <v>9.202999999999999</v>
      </c>
      <c r="J13" s="138" t="n">
        <v>7.896</v>
      </c>
      <c r="K13" s="138" t="n">
        <v>2.696</v>
      </c>
      <c r="L13" s="138" t="n">
        <v>3.913</v>
      </c>
      <c r="M13" s="139" t="inlineStr">
        <is>
          <t>-</t>
        </is>
      </c>
      <c r="N13" s="139" t="inlineStr">
        <is>
          <t>-</t>
        </is>
      </c>
      <c r="O13" s="139" t="inlineStr">
        <is>
          <t>-</t>
        </is>
      </c>
      <c r="P13" s="139" t="inlineStr">
        <is>
          <t>-</t>
        </is>
      </c>
      <c r="Q13" s="139" t="inlineStr">
        <is>
          <t>-</t>
        </is>
      </c>
      <c r="R13" s="139" t="inlineStr">
        <is>
          <t>-</t>
        </is>
      </c>
      <c r="S13" s="139" t="inlineStr">
        <is>
          <t>-</t>
        </is>
      </c>
      <c r="T13" s="140" t="inlineStr">
        <is>
          <t>-</t>
        </is>
      </c>
      <c r="U13" s="140" t="inlineStr">
        <is>
          <t>-</t>
        </is>
      </c>
      <c r="V13" s="139" t="inlineStr">
        <is>
          <t>1%</t>
        </is>
      </c>
      <c r="W13" s="139" t="inlineStr">
        <is>
          <t>-%</t>
        </is>
      </c>
      <c r="X13" s="139" t="inlineStr">
        <is>
          <t>-%</t>
        </is>
      </c>
      <c r="Y13" s="139" t="inlineStr">
        <is>
          <t>-%</t>
        </is>
      </c>
      <c r="Z13" s="139" t="inlineStr">
        <is>
          <t>-%</t>
        </is>
      </c>
      <c r="AA13" s="139" t="inlineStr">
        <is>
          <t>-%</t>
        </is>
      </c>
      <c r="AB13" s="139" t="inlineStr">
        <is>
          <t>1%</t>
        </is>
      </c>
      <c r="AC13" s="140" t="inlineStr">
        <is>
          <t>-%</t>
        </is>
      </c>
      <c r="AD13" s="141" t="inlineStr">
        <is>
          <t>-%</t>
        </is>
      </c>
    </row>
    <row r="14" ht="30" customHeight="1" s="116">
      <c r="B14" t="inlineStr">
        <is>
          <t>Men</t>
        </is>
      </c>
      <c r="C14" s="155" t="inlineStr">
        <is>
          <t>Total</t>
        </is>
      </c>
      <c r="D14" s="142" t="n">
        <v>1283.895</v>
      </c>
      <c r="E14" s="143" t="n">
        <v>1242.493</v>
      </c>
      <c r="F14" s="143" t="n">
        <v>893.604</v>
      </c>
      <c r="G14" s="143" t="n">
        <v>905.428</v>
      </c>
      <c r="H14" s="143" t="n">
        <v>907.456</v>
      </c>
      <c r="I14" s="143" t="n">
        <v>774.706</v>
      </c>
      <c r="J14" s="143" t="n">
        <v>747.74</v>
      </c>
      <c r="K14" s="144" t="n">
        <v>1099.532</v>
      </c>
      <c r="L14" s="144" t="n">
        <v>981.856</v>
      </c>
      <c r="M14" s="145" t="inlineStr">
        <is>
          <t>9%</t>
        </is>
      </c>
      <c r="N14" s="145" t="inlineStr">
        <is>
          <t>15%</t>
        </is>
      </c>
      <c r="O14" s="145" t="inlineStr">
        <is>
          <t>(23%)</t>
        </is>
      </c>
      <c r="P14" s="145" t="inlineStr">
        <is>
          <t>(6%)</t>
        </is>
      </c>
      <c r="Q14" s="145" t="inlineStr">
        <is>
          <t>16%</t>
        </is>
      </c>
      <c r="R14" s="145" t="inlineStr">
        <is>
          <t>(10%)</t>
        </is>
      </c>
      <c r="S14" s="145" t="inlineStr">
        <is>
          <t>(6%)</t>
        </is>
      </c>
      <c r="T14" s="146" t="inlineStr">
        <is>
          <t>32%</t>
        </is>
      </c>
      <c r="U14" s="146" t="inlineStr">
        <is>
          <t>3%</t>
        </is>
      </c>
      <c r="V14" s="145" t="inlineStr">
        <is>
          <t>96%</t>
        </is>
      </c>
      <c r="W14" s="145" t="inlineStr">
        <is>
          <t>97%</t>
        </is>
      </c>
      <c r="X14" s="145" t="inlineStr">
        <is>
          <t>97%</t>
        </is>
      </c>
      <c r="Y14" s="145" t="inlineStr">
        <is>
          <t>96%</t>
        </is>
      </c>
      <c r="Z14" s="145" t="inlineStr">
        <is>
          <t>93%</t>
        </is>
      </c>
      <c r="AA14" s="145" t="inlineStr">
        <is>
          <t>94%</t>
        </is>
      </c>
      <c r="AB14" s="145" t="inlineStr">
        <is>
          <t>94%</t>
        </is>
      </c>
      <c r="AC14" s="146" t="inlineStr">
        <is>
          <t>94%</t>
        </is>
      </c>
      <c r="AD14" s="147" t="inlineStr">
        <is>
          <t>95%</t>
        </is>
      </c>
    </row>
    <row r="15" ht="30" customHeight="1" s="116">
      <c r="B15" t="inlineStr">
        <is>
          <t>Women</t>
        </is>
      </c>
      <c r="C15" s="154" t="inlineStr">
        <is>
          <t>Underwear</t>
        </is>
      </c>
      <c r="D15" s="133" t="n">
        <v>32.789</v>
      </c>
      <c r="E15" s="134" t="n">
        <v>16.704</v>
      </c>
      <c r="F15" s="134" t="n">
        <v>16.894</v>
      </c>
      <c r="G15" s="134" t="n">
        <v>21.603</v>
      </c>
      <c r="H15" s="134" t="n">
        <v>40.578</v>
      </c>
      <c r="I15" s="134" t="n">
        <v>23.706</v>
      </c>
      <c r="J15" s="134" t="n">
        <v>36.644</v>
      </c>
      <c r="K15" s="128" t="n">
        <v>39.11</v>
      </c>
      <c r="L15" s="128" t="n">
        <v>28.504</v>
      </c>
      <c r="M15" s="135" t="inlineStr">
        <is>
          <t>(39%)</t>
        </is>
      </c>
      <c r="N15" s="135" t="inlineStr">
        <is>
          <t>(60%)</t>
        </is>
      </c>
      <c r="O15" s="135" t="inlineStr">
        <is>
          <t>(39%)</t>
        </is>
      </c>
      <c r="P15" s="135" t="inlineStr">
        <is>
          <t>(71%)</t>
        </is>
      </c>
      <c r="Q15" s="135" t="inlineStr">
        <is>
          <t>61%</t>
        </is>
      </c>
      <c r="R15" s="135" t="inlineStr">
        <is>
          <t>7%</t>
        </is>
      </c>
      <c r="S15" s="135" t="inlineStr">
        <is>
          <t>61%</t>
        </is>
      </c>
      <c r="T15" s="130" t="inlineStr">
        <is>
          <t>14%</t>
        </is>
      </c>
      <c r="U15" s="130" t="inlineStr">
        <is>
          <t>(8%)</t>
        </is>
      </c>
      <c r="V15" s="135" t="inlineStr">
        <is>
          <t>2%</t>
        </is>
      </c>
      <c r="W15" s="135" t="inlineStr">
        <is>
          <t>1%</t>
        </is>
      </c>
      <c r="X15" s="135" t="inlineStr">
        <is>
          <t>2%</t>
        </is>
      </c>
      <c r="Y15" s="135" t="inlineStr">
        <is>
          <t>2%</t>
        </is>
      </c>
      <c r="Z15" s="135" t="inlineStr">
        <is>
          <t>4%</t>
        </is>
      </c>
      <c r="AA15" s="135" t="inlineStr">
        <is>
          <t>3%</t>
        </is>
      </c>
      <c r="AB15" s="135" t="inlineStr">
        <is>
          <t>5%</t>
        </is>
      </c>
      <c r="AC15" s="130" t="inlineStr">
        <is>
          <t>3%</t>
        </is>
      </c>
      <c r="AD15" s="136" t="inlineStr">
        <is>
          <t>3%</t>
        </is>
      </c>
    </row>
    <row r="16" ht="30" customHeight="1" s="116">
      <c r="B16" t="inlineStr">
        <is>
          <t>Women</t>
        </is>
      </c>
      <c r="C16" s="154" t="inlineStr">
        <is>
          <t>Tops</t>
        </is>
      </c>
      <c r="D16" s="127" t="n">
        <v>13.488</v>
      </c>
      <c r="E16" s="128" t="n">
        <v>17.796</v>
      </c>
      <c r="F16" s="128" t="n">
        <v>4.248</v>
      </c>
      <c r="G16" s="128" t="n">
        <v>17.435</v>
      </c>
      <c r="H16" s="128" t="n">
        <v>19.543</v>
      </c>
      <c r="I16" s="128" t="n">
        <v>14.294</v>
      </c>
      <c r="J16" s="128" t="n">
        <v>10.103</v>
      </c>
      <c r="K16" s="129" t="n">
        <v>23.33</v>
      </c>
      <c r="L16" s="129" t="n">
        <v>15.03</v>
      </c>
      <c r="M16" s="130" t="inlineStr">
        <is>
          <t>(9%)</t>
        </is>
      </c>
      <c r="N16" s="130" t="inlineStr">
        <is>
          <t>10%</t>
        </is>
      </c>
      <c r="O16" s="130" t="inlineStr">
        <is>
          <t>(62%)</t>
        </is>
      </c>
      <c r="P16" s="130" t="inlineStr">
        <is>
          <t>383%</t>
        </is>
      </c>
      <c r="Q16" s="130" t="inlineStr">
        <is>
          <t>36%</t>
        </is>
      </c>
      <c r="R16" s="130" t="inlineStr">
        <is>
          <t>23%</t>
        </is>
      </c>
      <c r="S16" s="130" t="inlineStr">
        <is>
          <t>(28%)</t>
        </is>
      </c>
      <c r="T16" s="131" t="inlineStr">
        <is>
          <t>37%</t>
        </is>
      </c>
      <c r="U16" s="131" t="inlineStr">
        <is>
          <t>49%</t>
        </is>
      </c>
      <c r="V16" s="130" t="inlineStr">
        <is>
          <t>1%</t>
        </is>
      </c>
      <c r="W16" s="130" t="inlineStr">
        <is>
          <t>1%</t>
        </is>
      </c>
      <c r="X16" s="130" t="inlineStr">
        <is>
          <t>-%</t>
        </is>
      </c>
      <c r="Y16" s="130" t="inlineStr">
        <is>
          <t>2%</t>
        </is>
      </c>
      <c r="Z16" s="130" t="inlineStr">
        <is>
          <t>2%</t>
        </is>
      </c>
      <c r="AA16" s="130" t="inlineStr">
        <is>
          <t>2%</t>
        </is>
      </c>
      <c r="AB16" s="130" t="inlineStr">
        <is>
          <t>1%</t>
        </is>
      </c>
      <c r="AC16" s="131" t="inlineStr">
        <is>
          <t>2%</t>
        </is>
      </c>
      <c r="AD16" s="132" t="inlineStr">
        <is>
          <t>1%</t>
        </is>
      </c>
    </row>
    <row r="17" ht="30" customHeight="1" s="116">
      <c r="B17" t="inlineStr">
        <is>
          <t>Women</t>
        </is>
      </c>
      <c r="C17" s="154" t="inlineStr">
        <is>
          <t>Socks</t>
        </is>
      </c>
      <c r="D17" s="133" t="n">
        <v>5.46</v>
      </c>
      <c r="E17" s="134" t="n">
        <v>0.585</v>
      </c>
      <c r="F17" s="134" t="n">
        <v>3.938</v>
      </c>
      <c r="G17" s="134" t="n">
        <v>1.405</v>
      </c>
      <c r="H17" s="134" t="n">
        <v>1.363</v>
      </c>
      <c r="I17" s="134" t="n">
        <v>5.54</v>
      </c>
      <c r="J17" s="134" t="n">
        <v>1.443</v>
      </c>
      <c r="K17" s="128" t="n">
        <v>4.612</v>
      </c>
      <c r="L17" s="128" t="n">
        <v>3.043</v>
      </c>
      <c r="M17" s="135" t="inlineStr">
        <is>
          <t>108%</t>
        </is>
      </c>
      <c r="N17" s="135" t="inlineStr">
        <is>
          <t>(51%)</t>
        </is>
      </c>
      <c r="O17" s="135" t="inlineStr">
        <is>
          <t>147%</t>
        </is>
      </c>
      <c r="P17" s="135" t="inlineStr">
        <is>
          <t>(48%)</t>
        </is>
      </c>
      <c r="Q17" s="135" t="inlineStr">
        <is>
          <t>(52%)</t>
        </is>
      </c>
      <c r="R17" s="135" t="inlineStr">
        <is>
          <t>1245%</t>
        </is>
      </c>
      <c r="S17" s="135" t="inlineStr">
        <is>
          <t>286%</t>
        </is>
      </c>
      <c r="T17" s="130" t="inlineStr">
        <is>
          <t>782%</t>
        </is>
      </c>
      <c r="U17" s="130" t="inlineStr">
        <is>
          <t>302%</t>
        </is>
      </c>
      <c r="V17" s="135" t="inlineStr">
        <is>
          <t>-%</t>
        </is>
      </c>
      <c r="W17" s="135" t="inlineStr">
        <is>
          <t>-%</t>
        </is>
      </c>
      <c r="X17" s="135" t="inlineStr">
        <is>
          <t>-%</t>
        </is>
      </c>
      <c r="Y17" s="135" t="inlineStr">
        <is>
          <t>-%</t>
        </is>
      </c>
      <c r="Z17" s="135" t="inlineStr">
        <is>
          <t>-%</t>
        </is>
      </c>
      <c r="AA17" s="135" t="inlineStr">
        <is>
          <t>-%</t>
        </is>
      </c>
      <c r="AB17" s="135" t="inlineStr">
        <is>
          <t>-%</t>
        </is>
      </c>
      <c r="AC17" s="130" t="inlineStr">
        <is>
          <t>-%</t>
        </is>
      </c>
      <c r="AD17" s="136" t="inlineStr">
        <is>
          <t>-%</t>
        </is>
      </c>
    </row>
    <row r="18" ht="30" customHeight="1" s="116">
      <c r="B18" t="inlineStr">
        <is>
          <t>Women</t>
        </is>
      </c>
      <c r="C18" s="154" t="inlineStr">
        <is>
          <t>Swim</t>
        </is>
      </c>
      <c r="D18" s="127" t="n">
        <v>3.483</v>
      </c>
      <c r="E18" s="128" t="n">
        <v>5.849</v>
      </c>
      <c r="F18" s="128" t="n">
        <v>0</v>
      </c>
      <c r="G18" s="128" t="n">
        <v>2.105</v>
      </c>
      <c r="H18" s="128" t="n">
        <v>2.771</v>
      </c>
      <c r="I18" s="128" t="n">
        <v>2.155</v>
      </c>
      <c r="J18" s="128" t="n">
        <v>0</v>
      </c>
      <c r="K18" s="129" t="n">
        <v>3.259</v>
      </c>
      <c r="L18" s="129" t="n">
        <v>2.453</v>
      </c>
      <c r="M18" s="130" t="inlineStr">
        <is>
          <t>(90%)</t>
        </is>
      </c>
      <c r="N18" s="130" t="inlineStr">
        <is>
          <t>(64%)</t>
        </is>
      </c>
      <c r="O18" s="130" t="inlineStr">
        <is>
          <t>(100%)</t>
        </is>
      </c>
      <c r="P18" s="130" t="inlineStr">
        <is>
          <t>165%</t>
        </is>
      </c>
      <c r="Q18" s="130" t="inlineStr">
        <is>
          <t>(38%)</t>
        </is>
      </c>
      <c r="R18" s="130" t="inlineStr">
        <is>
          <t>53%</t>
        </is>
      </c>
      <c r="S18" s="130" t="inlineStr">
        <is>
          <t>(100%)</t>
        </is>
      </c>
      <c r="T18" s="131" t="inlineStr">
        <is>
          <t>435%</t>
        </is>
      </c>
      <c r="U18" s="131" t="inlineStr">
        <is>
          <t>33%</t>
        </is>
      </c>
      <c r="V18" s="130" t="inlineStr">
        <is>
          <t>-%</t>
        </is>
      </c>
      <c r="W18" s="130" t="inlineStr">
        <is>
          <t>-%</t>
        </is>
      </c>
      <c r="X18" s="130" t="inlineStr">
        <is>
          <t>-%</t>
        </is>
      </c>
      <c r="Y18" s="130" t="inlineStr">
        <is>
          <t>-%</t>
        </is>
      </c>
      <c r="Z18" s="130" t="inlineStr">
        <is>
          <t>-%</t>
        </is>
      </c>
      <c r="AA18" s="130" t="inlineStr">
        <is>
          <t>1%</t>
        </is>
      </c>
      <c r="AB18" s="130" t="inlineStr">
        <is>
          <t>-%</t>
        </is>
      </c>
      <c r="AC18" s="131" t="inlineStr">
        <is>
          <t>-%</t>
        </is>
      </c>
      <c r="AD18" s="132" t="inlineStr">
        <is>
          <t>-%</t>
        </is>
      </c>
    </row>
    <row r="19" ht="30" customFormat="1" customHeight="1" s="94">
      <c r="B19" t="inlineStr">
        <is>
          <t>Women</t>
        </is>
      </c>
      <c r="C19" s="154" t="inlineStr">
        <is>
          <t>Dresses</t>
        </is>
      </c>
      <c r="D19" s="127" t="n">
        <v>1.029</v>
      </c>
      <c r="E19" s="128" t="n">
        <v>1.198</v>
      </c>
      <c r="F19" s="128" t="n">
        <v>0</v>
      </c>
      <c r="G19" s="128" t="n">
        <v>0</v>
      </c>
      <c r="H19" s="128" t="n">
        <v>0</v>
      </c>
      <c r="I19" s="128" t="n">
        <v>1.472</v>
      </c>
      <c r="J19" s="128" t="n">
        <v>0</v>
      </c>
      <c r="K19" s="129" t="n">
        <v>0.017</v>
      </c>
      <c r="L19" s="129" t="n">
        <v>0.464</v>
      </c>
      <c r="M19" s="139" t="inlineStr">
        <is>
          <t>-</t>
        </is>
      </c>
      <c r="N19" s="139" t="inlineStr">
        <is>
          <t>(23%)</t>
        </is>
      </c>
      <c r="O19" s="139" t="inlineStr">
        <is>
          <t>(100%)</t>
        </is>
      </c>
      <c r="P19" s="139" t="inlineStr">
        <is>
          <t>(100%)</t>
        </is>
      </c>
      <c r="Q19" s="139" t="inlineStr">
        <is>
          <t>(100%)</t>
        </is>
      </c>
      <c r="R19" s="139" t="inlineStr">
        <is>
          <t>-</t>
        </is>
      </c>
      <c r="S19" s="139" t="inlineStr">
        <is>
          <t>-</t>
        </is>
      </c>
      <c r="T19" s="139" t="inlineStr">
        <is>
          <t>(99%)</t>
        </is>
      </c>
      <c r="U19" s="139" t="inlineStr">
        <is>
          <t>(84%)</t>
        </is>
      </c>
      <c r="V19" s="139" t="inlineStr">
        <is>
          <t>-%</t>
        </is>
      </c>
      <c r="W19" s="139" t="inlineStr">
        <is>
          <t>-%</t>
        </is>
      </c>
      <c r="X19" s="139" t="inlineStr">
        <is>
          <t>-%</t>
        </is>
      </c>
      <c r="Y19" s="139" t="inlineStr">
        <is>
          <t>-%</t>
        </is>
      </c>
      <c r="Z19" s="139" t="inlineStr">
        <is>
          <t>-%</t>
        </is>
      </c>
      <c r="AA19" s="139" t="inlineStr">
        <is>
          <t>-%</t>
        </is>
      </c>
      <c r="AB19" s="139" t="inlineStr">
        <is>
          <t>-%</t>
        </is>
      </c>
      <c r="AC19" s="139" t="inlineStr">
        <is>
          <t>-%</t>
        </is>
      </c>
      <c r="AD19" s="148" t="inlineStr">
        <is>
          <t>-%</t>
        </is>
      </c>
    </row>
    <row r="20" ht="30" customFormat="1" customHeight="1" s="94">
      <c r="B20" t="inlineStr">
        <is>
          <t>Women</t>
        </is>
      </c>
      <c r="C20" s="156" t="inlineStr">
        <is>
          <t>Total</t>
        </is>
      </c>
      <c r="D20" s="157" t="n">
        <v>56.249</v>
      </c>
      <c r="E20" s="158" t="n">
        <v>42.132</v>
      </c>
      <c r="F20" s="158" t="n">
        <v>25.08</v>
      </c>
      <c r="G20" s="158" t="n">
        <v>42.548</v>
      </c>
      <c r="H20" s="158" t="n">
        <v>64.255</v>
      </c>
      <c r="I20" s="158" t="n">
        <v>47.167</v>
      </c>
      <c r="J20" s="158" t="n">
        <v>48.19</v>
      </c>
      <c r="K20" s="158" t="n">
        <v>70.328</v>
      </c>
      <c r="L20" s="158" t="n">
        <v>49.493</v>
      </c>
      <c r="M20" s="159" t="inlineStr">
        <is>
          <t>(46%)</t>
        </is>
      </c>
      <c r="N20" s="159" t="inlineStr">
        <is>
          <t>(45%)</t>
        </is>
      </c>
      <c r="O20" s="159" t="inlineStr">
        <is>
          <t>(52%)</t>
        </is>
      </c>
      <c r="P20" s="159" t="inlineStr">
        <is>
          <t>(50%)</t>
        </is>
      </c>
      <c r="Q20" s="159" t="inlineStr">
        <is>
          <t>33%</t>
        </is>
      </c>
      <c r="R20" s="159" t="inlineStr">
        <is>
          <t>32%</t>
        </is>
      </c>
      <c r="S20" s="159" t="inlineStr">
        <is>
          <t>23%</t>
        </is>
      </c>
      <c r="T20" s="159" t="inlineStr">
        <is>
          <t>31%</t>
        </is>
      </c>
      <c r="U20" s="159" t="inlineStr">
        <is>
          <t>(9%)</t>
        </is>
      </c>
      <c r="V20" s="159" t="inlineStr">
        <is>
          <t>4%</t>
        </is>
      </c>
      <c r="W20" s="159" t="inlineStr">
        <is>
          <t>3%</t>
        </is>
      </c>
      <c r="X20" s="159" t="inlineStr">
        <is>
          <t>3%</t>
        </is>
      </c>
      <c r="Y20" s="159" t="inlineStr">
        <is>
          <t>4%</t>
        </is>
      </c>
      <c r="Z20" s="159" t="inlineStr">
        <is>
          <t>7%</t>
        </is>
      </c>
      <c r="AA20" s="159" t="inlineStr">
        <is>
          <t>6%</t>
        </is>
      </c>
      <c r="AB20" s="159" t="inlineStr">
        <is>
          <t>6%</t>
        </is>
      </c>
      <c r="AC20" s="159" t="inlineStr">
        <is>
          <t>6%</t>
        </is>
      </c>
      <c r="AD20" s="160" t="inlineStr">
        <is>
          <t>5%</t>
        </is>
      </c>
    </row>
    <row r="21" ht="36" customHeight="1" s="116">
      <c r="B21" s="121" t="inlineStr">
        <is>
          <t>Grand Total</t>
        </is>
      </c>
      <c r="C21" s="120" t="n"/>
      <c r="D21" s="149" t="n">
        <v>1340.144</v>
      </c>
      <c r="E21" s="150" t="n">
        <v>1284.625</v>
      </c>
      <c r="F21" s="150" t="n">
        <v>918.684</v>
      </c>
      <c r="G21" s="150" t="n">
        <v>947.976</v>
      </c>
      <c r="H21" s="150" t="n">
        <v>971.711</v>
      </c>
      <c r="I21" s="150" t="n">
        <v>821.873</v>
      </c>
      <c r="J21" s="150" t="n">
        <v>795.9299999999999</v>
      </c>
      <c r="K21" s="150" t="n">
        <v>1169.86</v>
      </c>
      <c r="L21" s="150" t="n">
        <v>1031.35</v>
      </c>
      <c r="M21" s="151" t="inlineStr">
        <is>
          <t>5%</t>
        </is>
      </c>
      <c r="N21" s="151" t="inlineStr">
        <is>
          <t>11%</t>
        </is>
      </c>
      <c r="O21" s="151" t="inlineStr">
        <is>
          <t>(24%)</t>
        </is>
      </c>
      <c r="P21" s="151" t="inlineStr">
        <is>
          <t>(10%)</t>
        </is>
      </c>
      <c r="Q21" s="151" t="inlineStr">
        <is>
          <t>17%</t>
        </is>
      </c>
      <c r="R21" s="151" t="inlineStr">
        <is>
          <t>(8%)</t>
        </is>
      </c>
      <c r="S21" s="151" t="inlineStr">
        <is>
          <t>(4%)</t>
        </is>
      </c>
      <c r="T21" s="151" t="inlineStr">
        <is>
          <t>32%</t>
        </is>
      </c>
      <c r="U21" s="151" t="inlineStr">
        <is>
          <t>2%</t>
        </is>
      </c>
      <c r="V21" s="151" t="inlineStr">
        <is>
          <t>100%</t>
        </is>
      </c>
      <c r="W21" s="151" t="inlineStr">
        <is>
          <t>100%</t>
        </is>
      </c>
      <c r="X21" s="151" t="inlineStr">
        <is>
          <t>100%</t>
        </is>
      </c>
      <c r="Y21" s="151" t="inlineStr">
        <is>
          <t>100%</t>
        </is>
      </c>
      <c r="Z21" s="151" t="inlineStr">
        <is>
          <t>100%</t>
        </is>
      </c>
      <c r="AA21" s="151" t="inlineStr">
        <is>
          <t>100%</t>
        </is>
      </c>
      <c r="AB21" s="151" t="inlineStr">
        <is>
          <t>100%</t>
        </is>
      </c>
      <c r="AC21" s="151" t="inlineStr">
        <is>
          <t>100%</t>
        </is>
      </c>
      <c r="AD21" s="152" t="inlineStr">
        <is>
          <t>100%</t>
        </is>
      </c>
    </row>
  </sheetData>
  <mergeCells count="3">
    <mergeCell ref="V4:AD4"/>
    <mergeCell ref="M4:U4"/>
    <mergeCell ref="D4:L4"/>
  </mergeCells>
  <pageMargins left="0.7" right="0.7" top="0.75" bottom="0.75" header="0.3" footer="0.3"/>
  <pageSetup orientation="portrait" paperSize="9" horizontalDpi="0" verticalDpi="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E2:L27"/>
  <sheetViews>
    <sheetView workbookViewId="0">
      <selection activeCell="E2" sqref="E2:L27"/>
    </sheetView>
  </sheetViews>
  <sheetFormatPr baseColWidth="10" defaultRowHeight="16"/>
  <cols>
    <col width="9" bestFit="1" customWidth="1" style="116" min="5" max="5"/>
    <col width="6.33203125" bestFit="1" customWidth="1" style="116" min="6" max="6"/>
    <col width="9.6640625" bestFit="1" customWidth="1" style="116" min="7" max="7"/>
    <col width="18.5" bestFit="1" customWidth="1" style="116" min="8" max="9"/>
    <col width="11" bestFit="1" customWidth="1" style="116" min="10" max="10"/>
    <col width="7.1640625" bestFit="1" customWidth="1" style="116" min="11" max="11"/>
    <col width="5.83203125" bestFit="1" customWidth="1" style="116" min="12" max="12"/>
  </cols>
  <sheetData>
    <row r="2" ht="30" customHeight="1" s="116">
      <c r="E2" s="115" t="inlineStr">
        <is>
          <t>New Customers</t>
        </is>
      </c>
    </row>
    <row r="3">
      <c r="E3" s="117" t="inlineStr">
        <is>
          <t>(SEK '000)</t>
        </is>
      </c>
    </row>
    <row r="5">
      <c r="E5" s="95" t="inlineStr">
        <is>
          <t>Rank</t>
        </is>
      </c>
      <c r="F5" s="95" t="inlineStr">
        <is>
          <t>Gender</t>
        </is>
      </c>
      <c r="G5" s="95" t="inlineStr">
        <is>
          <t>Category</t>
        </is>
      </c>
      <c r="H5" s="95" t="inlineStr">
        <is>
          <t>Product</t>
        </is>
      </c>
      <c r="I5" s="95" t="inlineStr">
        <is>
          <t>Color</t>
        </is>
      </c>
      <c r="J5" s="95" t="inlineStr">
        <is>
          <t>Gross Revenue</t>
        </is>
      </c>
      <c r="K5" s="95" t="inlineStr">
        <is>
          <t>Sales Qty</t>
        </is>
      </c>
      <c r="L5" s="95" t="inlineStr">
        <is>
          <t>SOB%</t>
        </is>
      </c>
    </row>
    <row r="6">
      <c r="E6" s="102" t="inlineStr">
        <is>
          <t>1</t>
        </is>
      </c>
      <c r="F6" s="102" t="inlineStr">
        <is>
          <t>MEN</t>
        </is>
      </c>
      <c r="G6" s="102" t="inlineStr">
        <is>
          <t>UNDERWEAR</t>
        </is>
      </c>
      <c r="H6" s="102" t="inlineStr">
        <is>
          <t>3 X BOXER BRIEFS</t>
        </is>
      </c>
      <c r="I6" s="102" t="inlineStr">
        <is>
          <t>BLACK</t>
        </is>
      </c>
      <c r="J6" s="103" t="inlineStr">
        <is>
          <t>19.4</t>
        </is>
      </c>
      <c r="K6" s="103" t="n">
        <v>21</v>
      </c>
      <c r="L6" s="103" t="inlineStr">
        <is>
          <t>6.4%</t>
        </is>
      </c>
    </row>
    <row r="7">
      <c r="E7" s="96" t="inlineStr">
        <is>
          <t>2</t>
        </is>
      </c>
      <c r="F7" s="96" t="inlineStr">
        <is>
          <t>MEN</t>
        </is>
      </c>
      <c r="G7" s="96" t="inlineStr">
        <is>
          <t>UNDERWEAR</t>
        </is>
      </c>
      <c r="H7" s="96" t="inlineStr">
        <is>
          <t>6 X BOXER BRIEFS</t>
        </is>
      </c>
      <c r="I7" s="96" t="inlineStr">
        <is>
          <t>BLACK</t>
        </is>
      </c>
      <c r="J7" s="99" t="inlineStr">
        <is>
          <t>18.7</t>
        </is>
      </c>
      <c r="K7" s="99" t="n">
        <v>11</v>
      </c>
      <c r="L7" s="99" t="inlineStr">
        <is>
          <t>6.2%</t>
        </is>
      </c>
    </row>
    <row r="8">
      <c r="E8" s="102" t="inlineStr">
        <is>
          <t>3</t>
        </is>
      </c>
      <c r="F8" s="102" t="inlineStr">
        <is>
          <t>MEN</t>
        </is>
      </c>
      <c r="G8" s="102" t="inlineStr">
        <is>
          <t>UNDERWEAR</t>
        </is>
      </c>
      <c r="H8" s="102" t="inlineStr">
        <is>
          <t>12 X BOXER BRIEFS</t>
        </is>
      </c>
      <c r="I8" s="102" t="inlineStr">
        <is>
          <t>BLACK</t>
        </is>
      </c>
      <c r="J8" s="103" t="inlineStr">
        <is>
          <t>12.9</t>
        </is>
      </c>
      <c r="K8" s="103" t="n">
        <v>4</v>
      </c>
      <c r="L8" s="103" t="inlineStr">
        <is>
          <t>4.3%</t>
        </is>
      </c>
    </row>
    <row r="9">
      <c r="E9" s="96" t="inlineStr">
        <is>
          <t>4</t>
        </is>
      </c>
      <c r="F9" s="96" t="inlineStr">
        <is>
          <t>MEN</t>
        </is>
      </c>
      <c r="G9" s="96" t="inlineStr">
        <is>
          <t>TOPS</t>
        </is>
      </c>
      <c r="H9" s="96" t="inlineStr">
        <is>
          <t>MIDWEIGHT T-SHIRT</t>
        </is>
      </c>
      <c r="I9" s="96" t="inlineStr">
        <is>
          <t>BLACK</t>
        </is>
      </c>
      <c r="J9" s="99" t="inlineStr">
        <is>
          <t>12.3</t>
        </is>
      </c>
      <c r="K9" s="99" t="n">
        <v>16</v>
      </c>
      <c r="L9" s="99" t="inlineStr">
        <is>
          <t>4.1%</t>
        </is>
      </c>
    </row>
    <row r="10">
      <c r="E10" s="102" t="inlineStr">
        <is>
          <t>5</t>
        </is>
      </c>
      <c r="F10" s="102" t="inlineStr">
        <is>
          <t>MEN</t>
        </is>
      </c>
      <c r="G10" s="102" t="inlineStr">
        <is>
          <t>TOPS</t>
        </is>
      </c>
      <c r="H10" s="102" t="inlineStr">
        <is>
          <t>2 X HEAVY WEIGHT T-SHIRT</t>
        </is>
      </c>
      <c r="I10" s="102" t="inlineStr">
        <is>
          <t>BLACK/WHITE</t>
        </is>
      </c>
      <c r="J10" s="103" t="inlineStr">
        <is>
          <t>9.7</t>
        </is>
      </c>
      <c r="K10" s="103" t="n">
        <v>6</v>
      </c>
      <c r="L10" s="103" t="inlineStr">
        <is>
          <t>3.2%</t>
        </is>
      </c>
    </row>
    <row r="11">
      <c r="E11" s="96" t="inlineStr">
        <is>
          <t>6</t>
        </is>
      </c>
      <c r="F11" s="96" t="inlineStr">
        <is>
          <t>MEN</t>
        </is>
      </c>
      <c r="G11" s="96" t="inlineStr">
        <is>
          <t>UNDERWEAR</t>
        </is>
      </c>
      <c r="H11" s="96" t="inlineStr">
        <is>
          <t>3 X BOXER BRIEFS</t>
        </is>
      </c>
      <c r="I11" s="96" t="inlineStr">
        <is>
          <t>OLIVE GREEN</t>
        </is>
      </c>
      <c r="J11" s="99" t="inlineStr">
        <is>
          <t>7.9</t>
        </is>
      </c>
      <c r="K11" s="99" t="n">
        <v>9</v>
      </c>
      <c r="L11" s="99" t="inlineStr">
        <is>
          <t>2.6%</t>
        </is>
      </c>
    </row>
    <row r="12">
      <c r="E12" s="102" t="inlineStr">
        <is>
          <t>7</t>
        </is>
      </c>
      <c r="F12" s="102" t="inlineStr">
        <is>
          <t>MEN</t>
        </is>
      </c>
      <c r="G12" s="102" t="inlineStr">
        <is>
          <t>UNDERWEAR</t>
        </is>
      </c>
      <c r="H12" s="102" t="inlineStr">
        <is>
          <t>3 X BOXER BRIEFS</t>
        </is>
      </c>
      <c r="I12" s="102" t="inlineStr">
        <is>
          <t>BLACK+STEEL BLUE+WHITE</t>
        </is>
      </c>
      <c r="J12" s="103" t="inlineStr">
        <is>
          <t>7.6</t>
        </is>
      </c>
      <c r="K12" s="103" t="n">
        <v>9</v>
      </c>
      <c r="L12" s="103" t="inlineStr">
        <is>
          <t>2.5%</t>
        </is>
      </c>
    </row>
    <row r="13">
      <c r="E13" s="96" t="inlineStr">
        <is>
          <t>8</t>
        </is>
      </c>
      <c r="F13" s="96" t="inlineStr">
        <is>
          <t>MEN</t>
        </is>
      </c>
      <c r="G13" s="96" t="inlineStr">
        <is>
          <t>TOPS</t>
        </is>
      </c>
      <c r="H13" s="96" t="inlineStr">
        <is>
          <t>MIDWEIGHT T-SHIRT</t>
        </is>
      </c>
      <c r="I13" s="96" t="inlineStr">
        <is>
          <t>WHITE</t>
        </is>
      </c>
      <c r="J13" s="99" t="inlineStr">
        <is>
          <t>7.5</t>
        </is>
      </c>
      <c r="K13" s="99" t="n">
        <v>9</v>
      </c>
      <c r="L13" s="99" t="inlineStr">
        <is>
          <t>2.5%</t>
        </is>
      </c>
    </row>
    <row r="14">
      <c r="E14" s="102" t="inlineStr">
        <is>
          <t>9</t>
        </is>
      </c>
      <c r="F14" s="102" t="inlineStr">
        <is>
          <t>MEN</t>
        </is>
      </c>
      <c r="G14" s="102" t="inlineStr">
        <is>
          <t>UNDERWEAR</t>
        </is>
      </c>
      <c r="H14" s="102" t="inlineStr">
        <is>
          <t>WOOL BOXER BRIEF</t>
        </is>
      </c>
      <c r="I14" s="102" t="inlineStr">
        <is>
          <t>BLACK</t>
        </is>
      </c>
      <c r="J14" s="103" t="inlineStr">
        <is>
          <t>7.2</t>
        </is>
      </c>
      <c r="K14" s="103" t="n">
        <v>13</v>
      </c>
      <c r="L14" s="103" t="inlineStr">
        <is>
          <t>2.4%</t>
        </is>
      </c>
    </row>
    <row r="15">
      <c r="E15" s="96" t="inlineStr">
        <is>
          <t>10</t>
        </is>
      </c>
      <c r="F15" s="96" t="inlineStr">
        <is>
          <t>MEN</t>
        </is>
      </c>
      <c r="G15" s="96" t="inlineStr">
        <is>
          <t>TOPS</t>
        </is>
      </c>
      <c r="H15" s="96" t="inlineStr">
        <is>
          <t>MIDWEIGHT T-SHIRT</t>
        </is>
      </c>
      <c r="I15" s="96" t="inlineStr">
        <is>
          <t>NAVY</t>
        </is>
      </c>
      <c r="J15" s="99" t="inlineStr">
        <is>
          <t>6.7</t>
        </is>
      </c>
      <c r="K15" s="99" t="n">
        <v>10</v>
      </c>
      <c r="L15" s="99" t="inlineStr">
        <is>
          <t>2.2%</t>
        </is>
      </c>
    </row>
    <row r="16">
      <c r="E16" s="102" t="inlineStr">
        <is>
          <t>11</t>
        </is>
      </c>
      <c r="F16" s="102" t="inlineStr">
        <is>
          <t>MEN</t>
        </is>
      </c>
      <c r="G16" s="102" t="inlineStr">
        <is>
          <t>TOPS</t>
        </is>
      </c>
      <c r="H16" s="102" t="inlineStr">
        <is>
          <t>T-SHIRT HEAVYWEIGHT</t>
        </is>
      </c>
      <c r="I16" s="102" t="inlineStr">
        <is>
          <t>BLACK</t>
        </is>
      </c>
      <c r="J16" s="103" t="inlineStr">
        <is>
          <t>6.3</t>
        </is>
      </c>
      <c r="K16" s="103" t="n">
        <v>8</v>
      </c>
      <c r="L16" s="103" t="inlineStr">
        <is>
          <t>2.1%</t>
        </is>
      </c>
    </row>
    <row r="17">
      <c r="E17" s="96" t="inlineStr">
        <is>
          <t>12</t>
        </is>
      </c>
      <c r="F17" s="96" t="inlineStr">
        <is>
          <t>MEN</t>
        </is>
      </c>
      <c r="G17" s="96" t="inlineStr">
        <is>
          <t>UNDERWEAR</t>
        </is>
      </c>
      <c r="H17" s="96" t="inlineStr">
        <is>
          <t>3 X BOXER TRUNKS</t>
        </is>
      </c>
      <c r="I17" s="96" t="inlineStr">
        <is>
          <t>BLACK</t>
        </is>
      </c>
      <c r="J17" s="99" t="inlineStr">
        <is>
          <t>5.4</t>
        </is>
      </c>
      <c r="K17" s="99" t="n">
        <v>6</v>
      </c>
      <c r="L17" s="99" t="inlineStr">
        <is>
          <t>1.8%</t>
        </is>
      </c>
    </row>
    <row r="18">
      <c r="E18" s="102" t="inlineStr">
        <is>
          <t>13</t>
        </is>
      </c>
      <c r="F18" s="102" t="inlineStr">
        <is>
          <t>MEN</t>
        </is>
      </c>
      <c r="G18" s="102" t="inlineStr">
        <is>
          <t>TOPS</t>
        </is>
      </c>
      <c r="H18" s="102" t="inlineStr">
        <is>
          <t>2 X RIB TANK TOP</t>
        </is>
      </c>
      <c r="I18" s="102" t="inlineStr">
        <is>
          <t>WHITE</t>
        </is>
      </c>
      <c r="J18" s="103" t="inlineStr">
        <is>
          <t>5.1</t>
        </is>
      </c>
      <c r="K18" s="103" t="n">
        <v>3</v>
      </c>
      <c r="L18" s="103" t="inlineStr">
        <is>
          <t>1.7%</t>
        </is>
      </c>
    </row>
    <row r="19">
      <c r="E19" s="96" t="inlineStr">
        <is>
          <t>14</t>
        </is>
      </c>
      <c r="F19" s="96" t="inlineStr">
        <is>
          <t>MEN</t>
        </is>
      </c>
      <c r="G19" s="96" t="inlineStr">
        <is>
          <t>TOPS</t>
        </is>
      </c>
      <c r="H19" s="96" t="inlineStr">
        <is>
          <t>RIB TANK TOP</t>
        </is>
      </c>
      <c r="I19" s="96" t="inlineStr">
        <is>
          <t>OFF BLACK</t>
        </is>
      </c>
      <c r="J19" s="99" t="inlineStr">
        <is>
          <t>5.1</t>
        </is>
      </c>
      <c r="K19" s="99" t="n">
        <v>5</v>
      </c>
      <c r="L19" s="99" t="inlineStr">
        <is>
          <t>1.7%</t>
        </is>
      </c>
    </row>
    <row r="20">
      <c r="E20" s="102" t="inlineStr">
        <is>
          <t>15</t>
        </is>
      </c>
      <c r="F20" s="102" t="inlineStr">
        <is>
          <t>MEN</t>
        </is>
      </c>
      <c r="G20" s="102" t="inlineStr">
        <is>
          <t>SWIMWEAR</t>
        </is>
      </c>
      <c r="H20" s="102" t="inlineStr">
        <is>
          <t>SWIM SHORTS DRY NYLON POPLIN</t>
        </is>
      </c>
      <c r="I20" s="102" t="inlineStr">
        <is>
          <t>WHITE</t>
        </is>
      </c>
      <c r="J20" s="103" t="inlineStr">
        <is>
          <t>5.1</t>
        </is>
      </c>
      <c r="K20" s="103" t="n">
        <v>3</v>
      </c>
      <c r="L20" s="103" t="inlineStr">
        <is>
          <t>1.7%</t>
        </is>
      </c>
    </row>
    <row r="21">
      <c r="E21" s="96" t="inlineStr">
        <is>
          <t>16</t>
        </is>
      </c>
      <c r="F21" s="96" t="inlineStr">
        <is>
          <t>MEN</t>
        </is>
      </c>
      <c r="G21" s="96" t="inlineStr">
        <is>
          <t>TOPS</t>
        </is>
      </c>
      <c r="H21" s="96" t="inlineStr">
        <is>
          <t>T-SHIRT HEAVYWEIGHT</t>
        </is>
      </c>
      <c r="I21" s="96" t="inlineStr">
        <is>
          <t>WHITE</t>
        </is>
      </c>
      <c r="J21" s="99" t="inlineStr">
        <is>
          <t>5.0</t>
        </is>
      </c>
      <c r="K21" s="99" t="n">
        <v>5</v>
      </c>
      <c r="L21" s="99" t="inlineStr">
        <is>
          <t>1.7%</t>
        </is>
      </c>
    </row>
    <row r="22">
      <c r="E22" s="102" t="inlineStr">
        <is>
          <t>17</t>
        </is>
      </c>
      <c r="F22" s="102" t="inlineStr">
        <is>
          <t>MEN</t>
        </is>
      </c>
      <c r="G22" s="102" t="inlineStr">
        <is>
          <t>TOPS</t>
        </is>
      </c>
      <c r="H22" s="102" t="inlineStr">
        <is>
          <t>2 X HEAVY WEIGHT T-SHIRT</t>
        </is>
      </c>
      <c r="I22" s="102" t="inlineStr">
        <is>
          <t>WHITE</t>
        </is>
      </c>
      <c r="J22" s="103" t="inlineStr">
        <is>
          <t>5.0</t>
        </is>
      </c>
      <c r="K22" s="103" t="n">
        <v>3</v>
      </c>
      <c r="L22" s="103" t="inlineStr">
        <is>
          <t>1.6%</t>
        </is>
      </c>
    </row>
    <row r="23">
      <c r="E23" s="96" t="inlineStr">
        <is>
          <t>18</t>
        </is>
      </c>
      <c r="F23" s="96" t="inlineStr">
        <is>
          <t>MEN</t>
        </is>
      </c>
      <c r="G23" s="96" t="inlineStr">
        <is>
          <t>UNDERWEAR</t>
        </is>
      </c>
      <c r="H23" s="96" t="inlineStr">
        <is>
          <t>BOXER BRIEFS</t>
        </is>
      </c>
      <c r="I23" s="96" t="inlineStr">
        <is>
          <t>BLACK</t>
        </is>
      </c>
      <c r="J23" s="99" t="inlineStr">
        <is>
          <t>4.7</t>
        </is>
      </c>
      <c r="K23" s="99" t="n">
        <v>11</v>
      </c>
      <c r="L23" s="99" t="inlineStr">
        <is>
          <t>1.5%</t>
        </is>
      </c>
    </row>
    <row r="24">
      <c r="E24" s="102" t="inlineStr">
        <is>
          <t>19</t>
        </is>
      </c>
      <c r="F24" s="102" t="inlineStr">
        <is>
          <t>MEN</t>
        </is>
      </c>
      <c r="G24" s="102" t="inlineStr">
        <is>
          <t>SWIMWEAR</t>
        </is>
      </c>
      <c r="H24" s="102" t="inlineStr">
        <is>
          <t>SWIM BRIEFS</t>
        </is>
      </c>
      <c r="I24" s="102" t="inlineStr">
        <is>
          <t>BLACK</t>
        </is>
      </c>
      <c r="J24" s="103" t="inlineStr">
        <is>
          <t>4.6</t>
        </is>
      </c>
      <c r="K24" s="103" t="n">
        <v>4</v>
      </c>
      <c r="L24" s="103" t="inlineStr">
        <is>
          <t>1.5%</t>
        </is>
      </c>
    </row>
    <row r="25">
      <c r="E25" s="96" t="inlineStr">
        <is>
          <t>20</t>
        </is>
      </c>
      <c r="F25" s="96" t="inlineStr">
        <is>
          <t>UNISEX</t>
        </is>
      </c>
      <c r="G25" s="96" t="inlineStr">
        <is>
          <t>SOCKS</t>
        </is>
      </c>
      <c r="H25" s="96" t="inlineStr">
        <is>
          <t>6 X COTTON SOCKS</t>
        </is>
      </c>
      <c r="I25" s="96" t="inlineStr">
        <is>
          <t>BLACK</t>
        </is>
      </c>
      <c r="J25" s="99" t="inlineStr">
        <is>
          <t>4.5</t>
        </is>
      </c>
      <c r="K25" s="99" t="n">
        <v>4</v>
      </c>
      <c r="L25" s="99" t="inlineStr">
        <is>
          <t>1.5%</t>
        </is>
      </c>
    </row>
    <row r="26">
      <c r="E26" s="104" t="inlineStr">
        <is>
          <t>Top 20 Total</t>
        </is>
      </c>
      <c r="F26" s="104" t="n"/>
      <c r="G26" s="104" t="n"/>
      <c r="H26" s="104" t="n"/>
      <c r="I26" s="104" t="n"/>
      <c r="J26" s="105" t="inlineStr">
        <is>
          <t>160.5</t>
        </is>
      </c>
      <c r="K26" s="105" t="n">
        <v>160</v>
      </c>
      <c r="L26" s="105" t="inlineStr">
        <is>
          <t>53.2%</t>
        </is>
      </c>
    </row>
    <row r="27" ht="17" customHeight="1" s="116" thickBot="1">
      <c r="E27" s="106" t="inlineStr">
        <is>
          <t>Grand Total</t>
        </is>
      </c>
      <c r="F27" s="106" t="n"/>
      <c r="G27" s="106" t="n"/>
      <c r="H27" s="106" t="n"/>
      <c r="I27" s="106" t="n"/>
      <c r="J27" s="107" t="inlineStr">
        <is>
          <t>301.8</t>
        </is>
      </c>
      <c r="K27" s="107" t="n">
        <v>335</v>
      </c>
      <c r="L27" s="107" t="inlineStr">
        <is>
          <t>100.0%</t>
        </is>
      </c>
    </row>
    <row r="28" ht="17" customHeight="1" s="116" thickTop="1"/>
  </sheetData>
  <mergeCells count="2">
    <mergeCell ref="E2:L2"/>
    <mergeCell ref="E3:L3"/>
  </mergeCells>
  <pageMargins left="0.7" right="0.7" top="0.75" bottom="0.75" header="0.3" footer="0.3"/>
  <pageSetup orientation="portrait" paperSize="9" horizontalDpi="0" verticalDpi="0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E2:L28"/>
  <sheetViews>
    <sheetView workbookViewId="0">
      <selection activeCell="E2" sqref="E2:L27"/>
    </sheetView>
  </sheetViews>
  <sheetFormatPr baseColWidth="10" defaultRowHeight="16"/>
  <cols>
    <col width="9" bestFit="1" customWidth="1" style="116" min="5" max="5"/>
    <col width="6" bestFit="1" customWidth="1" style="116" min="6" max="6"/>
    <col width="9.6640625" bestFit="1" customWidth="1" style="116" min="7" max="7"/>
    <col width="23.33203125" bestFit="1" customWidth="1" style="116" min="8" max="8"/>
    <col width="18.5" bestFit="1" customWidth="1" style="116" min="9" max="9"/>
    <col width="11" bestFit="1" customWidth="1" style="116" min="10" max="10"/>
    <col width="7.1640625" bestFit="1" customWidth="1" style="116" min="11" max="11"/>
    <col width="5.83203125" bestFit="1" customWidth="1" style="116" min="12" max="12"/>
  </cols>
  <sheetData>
    <row r="2" ht="30" customHeight="1" s="116">
      <c r="E2" s="115" t="inlineStr">
        <is>
          <t>Returning Customers</t>
        </is>
      </c>
    </row>
    <row r="3">
      <c r="E3" s="117" t="inlineStr">
        <is>
          <t>(SEK '000)</t>
        </is>
      </c>
    </row>
    <row r="5">
      <c r="E5" s="95" t="inlineStr">
        <is>
          <t>Rank</t>
        </is>
      </c>
      <c r="F5" s="95" t="inlineStr">
        <is>
          <t>Gender</t>
        </is>
      </c>
      <c r="G5" s="95" t="inlineStr">
        <is>
          <t>Category</t>
        </is>
      </c>
      <c r="H5" s="95" t="inlineStr">
        <is>
          <t>Product</t>
        </is>
      </c>
      <c r="I5" s="95" t="inlineStr">
        <is>
          <t>Color</t>
        </is>
      </c>
      <c r="J5" s="95" t="inlineStr">
        <is>
          <t>Gross Revenue</t>
        </is>
      </c>
      <c r="K5" s="95" t="inlineStr">
        <is>
          <t>Sales Qty</t>
        </is>
      </c>
      <c r="L5" s="95" t="inlineStr">
        <is>
          <t>SOB%</t>
        </is>
      </c>
    </row>
    <row r="6">
      <c r="E6" s="102" t="inlineStr">
        <is>
          <t>1</t>
        </is>
      </c>
      <c r="F6" s="102" t="inlineStr">
        <is>
          <t>MEN</t>
        </is>
      </c>
      <c r="G6" s="102" t="inlineStr">
        <is>
          <t>UNDERWEAR</t>
        </is>
      </c>
      <c r="H6" s="102" t="inlineStr">
        <is>
          <t>3 X BOXER BRIEFS</t>
        </is>
      </c>
      <c r="I6" s="102" t="inlineStr">
        <is>
          <t>STEEL BLUE</t>
        </is>
      </c>
      <c r="J6" s="103" t="inlineStr">
        <is>
          <t>22.7</t>
        </is>
      </c>
      <c r="K6" s="103" t="n">
        <v>36</v>
      </c>
      <c r="L6" s="103" t="inlineStr">
        <is>
          <t>4.0%</t>
        </is>
      </c>
    </row>
    <row r="7">
      <c r="E7" s="96" t="inlineStr">
        <is>
          <t>2</t>
        </is>
      </c>
      <c r="F7" s="96" t="inlineStr">
        <is>
          <t>MEN</t>
        </is>
      </c>
      <c r="G7" s="96" t="inlineStr">
        <is>
          <t>SWIMWEAR</t>
        </is>
      </c>
      <c r="H7" s="96" t="inlineStr">
        <is>
          <t>SWIM SHORTS SATIN TWILL</t>
        </is>
      </c>
      <c r="I7" s="96" t="inlineStr">
        <is>
          <t>JUNIPER</t>
        </is>
      </c>
      <c r="J7" s="99" t="inlineStr">
        <is>
          <t>22.6</t>
        </is>
      </c>
      <c r="K7" s="99" t="n">
        <v>13</v>
      </c>
      <c r="L7" s="99" t="inlineStr">
        <is>
          <t>4.0%</t>
        </is>
      </c>
    </row>
    <row r="8">
      <c r="E8" s="102" t="inlineStr">
        <is>
          <t>3</t>
        </is>
      </c>
      <c r="F8" s="102" t="inlineStr">
        <is>
          <t>MEN</t>
        </is>
      </c>
      <c r="G8" s="102" t="inlineStr">
        <is>
          <t>UNDERWEAR</t>
        </is>
      </c>
      <c r="H8" s="102" t="inlineStr">
        <is>
          <t>12 X BOXER BRIEFS</t>
        </is>
      </c>
      <c r="I8" s="102" t="inlineStr">
        <is>
          <t>BLACK</t>
        </is>
      </c>
      <c r="J8" s="103" t="inlineStr">
        <is>
          <t>21.0</t>
        </is>
      </c>
      <c r="K8" s="103" t="n">
        <v>7</v>
      </c>
      <c r="L8" s="103" t="inlineStr">
        <is>
          <t>3.7%</t>
        </is>
      </c>
    </row>
    <row r="9">
      <c r="E9" s="96" t="inlineStr">
        <is>
          <t>4</t>
        </is>
      </c>
      <c r="F9" s="96" t="inlineStr">
        <is>
          <t>MEN</t>
        </is>
      </c>
      <c r="G9" s="96" t="inlineStr">
        <is>
          <t>UNDERWEAR</t>
        </is>
      </c>
      <c r="H9" s="96" t="inlineStr">
        <is>
          <t>6 X BOXER SHORTS</t>
        </is>
      </c>
      <c r="I9" s="96" t="inlineStr">
        <is>
          <t>BLACK</t>
        </is>
      </c>
      <c r="J9" s="99" t="inlineStr">
        <is>
          <t>19.4</t>
        </is>
      </c>
      <c r="K9" s="99" t="n">
        <v>9</v>
      </c>
      <c r="L9" s="99" t="inlineStr">
        <is>
          <t>3.4%</t>
        </is>
      </c>
    </row>
    <row r="10">
      <c r="E10" s="102" t="inlineStr">
        <is>
          <t>5</t>
        </is>
      </c>
      <c r="F10" s="102" t="inlineStr">
        <is>
          <t>MEN</t>
        </is>
      </c>
      <c r="G10" s="102" t="inlineStr">
        <is>
          <t>UNDERWEAR</t>
        </is>
      </c>
      <c r="H10" s="102" t="inlineStr">
        <is>
          <t>3 X BOXER BRIEFS</t>
        </is>
      </c>
      <c r="I10" s="102" t="inlineStr">
        <is>
          <t>WHITE</t>
        </is>
      </c>
      <c r="J10" s="103" t="inlineStr">
        <is>
          <t>19.2</t>
        </is>
      </c>
      <c r="K10" s="103" t="n">
        <v>22</v>
      </c>
      <c r="L10" s="103" t="inlineStr">
        <is>
          <t>3.4%</t>
        </is>
      </c>
    </row>
    <row r="11">
      <c r="E11" s="96" t="inlineStr">
        <is>
          <t>6</t>
        </is>
      </c>
      <c r="F11" s="96" t="inlineStr">
        <is>
          <t>MEN</t>
        </is>
      </c>
      <c r="G11" s="96" t="inlineStr">
        <is>
          <t>UNDERWEAR</t>
        </is>
      </c>
      <c r="H11" s="96" t="inlineStr">
        <is>
          <t>3 X BOXER BRIEFS</t>
        </is>
      </c>
      <c r="I11" s="96" t="inlineStr">
        <is>
          <t>BLACK</t>
        </is>
      </c>
      <c r="J11" s="99" t="inlineStr">
        <is>
          <t>18.9</t>
        </is>
      </c>
      <c r="K11" s="99" t="n">
        <v>25</v>
      </c>
      <c r="L11" s="99" t="inlineStr">
        <is>
          <t>3.3%</t>
        </is>
      </c>
    </row>
    <row r="12">
      <c r="E12" s="102" t="inlineStr">
        <is>
          <t>7</t>
        </is>
      </c>
      <c r="F12" s="102" t="inlineStr">
        <is>
          <t>MEN</t>
        </is>
      </c>
      <c r="G12" s="102" t="inlineStr">
        <is>
          <t>TOPS</t>
        </is>
      </c>
      <c r="H12" s="102" t="inlineStr">
        <is>
          <t>MIDWEIGHT T-SHIRT</t>
        </is>
      </c>
      <c r="I12" s="102" t="inlineStr">
        <is>
          <t>NAVY</t>
        </is>
      </c>
      <c r="J12" s="103" t="inlineStr">
        <is>
          <t>16.3</t>
        </is>
      </c>
      <c r="K12" s="103" t="n">
        <v>22</v>
      </c>
      <c r="L12" s="103" t="inlineStr">
        <is>
          <t>2.8%</t>
        </is>
      </c>
    </row>
    <row r="13">
      <c r="E13" s="96" t="inlineStr">
        <is>
          <t>8</t>
        </is>
      </c>
      <c r="F13" s="96" t="inlineStr">
        <is>
          <t>MEN</t>
        </is>
      </c>
      <c r="G13" s="96" t="inlineStr">
        <is>
          <t>TOPS</t>
        </is>
      </c>
      <c r="H13" s="96" t="inlineStr">
        <is>
          <t>MIDWEIGHT T-SHIRT</t>
        </is>
      </c>
      <c r="I13" s="96" t="inlineStr">
        <is>
          <t>WHITE</t>
        </is>
      </c>
      <c r="J13" s="99" t="inlineStr">
        <is>
          <t>15.7</t>
        </is>
      </c>
      <c r="K13" s="99" t="n">
        <v>20</v>
      </c>
      <c r="L13" s="99" t="inlineStr">
        <is>
          <t>2.8%</t>
        </is>
      </c>
    </row>
    <row r="14">
      <c r="E14" s="102" t="inlineStr">
        <is>
          <t>9</t>
        </is>
      </c>
      <c r="F14" s="102" t="inlineStr">
        <is>
          <t>MEN</t>
        </is>
      </c>
      <c r="G14" s="102" t="inlineStr">
        <is>
          <t>UNDERWEAR</t>
        </is>
      </c>
      <c r="H14" s="102" t="inlineStr">
        <is>
          <t>6 X BOXER BRIEFS</t>
        </is>
      </c>
      <c r="I14" s="102" t="inlineStr">
        <is>
          <t>BLACK</t>
        </is>
      </c>
      <c r="J14" s="103" t="inlineStr">
        <is>
          <t>15.4</t>
        </is>
      </c>
      <c r="K14" s="103" t="n">
        <v>11</v>
      </c>
      <c r="L14" s="103" t="inlineStr">
        <is>
          <t>2.7%</t>
        </is>
      </c>
    </row>
    <row r="15">
      <c r="E15" s="96" t="inlineStr">
        <is>
          <t>10</t>
        </is>
      </c>
      <c r="F15" s="96" t="inlineStr">
        <is>
          <t>MEN</t>
        </is>
      </c>
      <c r="G15" s="96" t="inlineStr">
        <is>
          <t>TOPS</t>
        </is>
      </c>
      <c r="H15" s="96" t="inlineStr">
        <is>
          <t>3 X MIDWEIGHT T-SHIRT</t>
        </is>
      </c>
      <c r="I15" s="96" t="inlineStr">
        <is>
          <t>WHITE</t>
        </is>
      </c>
      <c r="J15" s="99" t="inlineStr">
        <is>
          <t>13.8</t>
        </is>
      </c>
      <c r="K15" s="99" t="n">
        <v>6</v>
      </c>
      <c r="L15" s="99" t="inlineStr">
        <is>
          <t>2.4%</t>
        </is>
      </c>
    </row>
    <row r="16">
      <c r="E16" s="102" t="inlineStr">
        <is>
          <t>11</t>
        </is>
      </c>
      <c r="F16" s="102" t="inlineStr">
        <is>
          <t>MEN</t>
        </is>
      </c>
      <c r="G16" s="102" t="inlineStr">
        <is>
          <t>TOPS</t>
        </is>
      </c>
      <c r="H16" s="102" t="inlineStr">
        <is>
          <t>3 X MIDWEIGHT T-SHIRT</t>
        </is>
      </c>
      <c r="I16" s="102" t="inlineStr">
        <is>
          <t>BLACK</t>
        </is>
      </c>
      <c r="J16" s="103" t="inlineStr">
        <is>
          <t>11.4</t>
        </is>
      </c>
      <c r="K16" s="103" t="n">
        <v>5</v>
      </c>
      <c r="L16" s="103" t="inlineStr">
        <is>
          <t>2.0%</t>
        </is>
      </c>
    </row>
    <row r="17">
      <c r="E17" s="96" t="inlineStr">
        <is>
          <t>12</t>
        </is>
      </c>
      <c r="F17" s="96" t="inlineStr">
        <is>
          <t>MEN</t>
        </is>
      </c>
      <c r="G17" s="96" t="inlineStr">
        <is>
          <t>MOBILITÉ</t>
        </is>
      </c>
      <c r="H17" s="96" t="inlineStr">
        <is>
          <t>3 X PERFORMANCE BOXER BRIEFS</t>
        </is>
      </c>
      <c r="I17" s="96" t="inlineStr">
        <is>
          <t>BLACK</t>
        </is>
      </c>
      <c r="J17" s="99" t="inlineStr">
        <is>
          <t>10.8</t>
        </is>
      </c>
      <c r="K17" s="99" t="n">
        <v>11</v>
      </c>
      <c r="L17" s="99" t="inlineStr">
        <is>
          <t>1.9%</t>
        </is>
      </c>
    </row>
    <row r="18">
      <c r="E18" s="102" t="inlineStr">
        <is>
          <t>13</t>
        </is>
      </c>
      <c r="F18" s="102" t="inlineStr">
        <is>
          <t>UNISEX</t>
        </is>
      </c>
      <c r="G18" s="102" t="inlineStr">
        <is>
          <t>SOCKS</t>
        </is>
      </c>
      <c r="H18" s="102" t="inlineStr">
        <is>
          <t>6 X COTTON SOCKS</t>
        </is>
      </c>
      <c r="I18" s="102" t="inlineStr">
        <is>
          <t>BLACK</t>
        </is>
      </c>
      <c r="J18" s="103" t="inlineStr">
        <is>
          <t>10.7</t>
        </is>
      </c>
      <c r="K18" s="103" t="n">
        <v>12</v>
      </c>
      <c r="L18" s="103" t="inlineStr">
        <is>
          <t>1.9%</t>
        </is>
      </c>
    </row>
    <row r="19">
      <c r="E19" s="96" t="inlineStr">
        <is>
          <t>14</t>
        </is>
      </c>
      <c r="F19" s="96" t="inlineStr">
        <is>
          <t>MEN</t>
        </is>
      </c>
      <c r="G19" s="96" t="inlineStr">
        <is>
          <t>UNDERWEAR</t>
        </is>
      </c>
      <c r="H19" s="96" t="inlineStr">
        <is>
          <t>6 X BOXER TRUNKS</t>
        </is>
      </c>
      <c r="I19" s="96" t="inlineStr">
        <is>
          <t>BLACK</t>
        </is>
      </c>
      <c r="J19" s="99" t="inlineStr">
        <is>
          <t>10.4</t>
        </is>
      </c>
      <c r="K19" s="99" t="n">
        <v>6</v>
      </c>
      <c r="L19" s="99" t="inlineStr">
        <is>
          <t>1.8%</t>
        </is>
      </c>
    </row>
    <row r="20">
      <c r="E20" s="102" t="inlineStr">
        <is>
          <t>15</t>
        </is>
      </c>
      <c r="F20" s="102" t="inlineStr">
        <is>
          <t>MEN</t>
        </is>
      </c>
      <c r="G20" s="102" t="inlineStr">
        <is>
          <t>UNDERWEAR</t>
        </is>
      </c>
      <c r="H20" s="102" t="inlineStr">
        <is>
          <t>3 X BOXER SHORTS</t>
        </is>
      </c>
      <c r="I20" s="102" t="inlineStr">
        <is>
          <t>WHITE</t>
        </is>
      </c>
      <c r="J20" s="103" t="inlineStr">
        <is>
          <t>10.0</t>
        </is>
      </c>
      <c r="K20" s="103" t="n">
        <v>12</v>
      </c>
      <c r="L20" s="103" t="inlineStr">
        <is>
          <t>1.7%</t>
        </is>
      </c>
    </row>
    <row r="21">
      <c r="E21" s="96" t="inlineStr">
        <is>
          <t>16</t>
        </is>
      </c>
      <c r="F21" s="96" t="inlineStr">
        <is>
          <t>MEN</t>
        </is>
      </c>
      <c r="G21" s="96" t="inlineStr">
        <is>
          <t>TOPS</t>
        </is>
      </c>
      <c r="H21" s="96" t="inlineStr">
        <is>
          <t>T-SHIRT HEAVYWEIGHT</t>
        </is>
      </c>
      <c r="I21" s="96" t="inlineStr">
        <is>
          <t>WHITE</t>
        </is>
      </c>
      <c r="J21" s="99" t="inlineStr">
        <is>
          <t>9.5</t>
        </is>
      </c>
      <c r="K21" s="99" t="n">
        <v>11</v>
      </c>
      <c r="L21" s="99" t="inlineStr">
        <is>
          <t>1.7%</t>
        </is>
      </c>
    </row>
    <row r="22">
      <c r="E22" s="102" t="inlineStr">
        <is>
          <t>17</t>
        </is>
      </c>
      <c r="F22" s="102" t="inlineStr">
        <is>
          <t>MEN</t>
        </is>
      </c>
      <c r="G22" s="102" t="inlineStr">
        <is>
          <t>TOPS</t>
        </is>
      </c>
      <c r="H22" s="102" t="inlineStr">
        <is>
          <t>MIDWEIGHT T-SHIRT LONG SLEEVE</t>
        </is>
      </c>
      <c r="I22" s="102" t="inlineStr">
        <is>
          <t>WHITE</t>
        </is>
      </c>
      <c r="J22" s="103" t="inlineStr">
        <is>
          <t>9.3</t>
        </is>
      </c>
      <c r="K22" s="103" t="n">
        <v>10</v>
      </c>
      <c r="L22" s="103" t="inlineStr">
        <is>
          <t>1.6%</t>
        </is>
      </c>
    </row>
    <row r="23">
      <c r="E23" s="96" t="inlineStr">
        <is>
          <t>18</t>
        </is>
      </c>
      <c r="F23" s="96" t="inlineStr">
        <is>
          <t>MEN</t>
        </is>
      </c>
      <c r="G23" s="96" t="inlineStr">
        <is>
          <t>TOPS</t>
        </is>
      </c>
      <c r="H23" s="96" t="inlineStr">
        <is>
          <t>MIDWEIGHT T-SHIRT</t>
        </is>
      </c>
      <c r="I23" s="96" t="inlineStr">
        <is>
          <t>BLACK</t>
        </is>
      </c>
      <c r="J23" s="99" t="inlineStr">
        <is>
          <t>8.8</t>
        </is>
      </c>
      <c r="K23" s="99" t="n">
        <v>11</v>
      </c>
      <c r="L23" s="99" t="inlineStr">
        <is>
          <t>1.5%</t>
        </is>
      </c>
    </row>
    <row r="24">
      <c r="E24" s="102" t="inlineStr">
        <is>
          <t>19</t>
        </is>
      </c>
      <c r="F24" s="102" t="inlineStr">
        <is>
          <t>MEN</t>
        </is>
      </c>
      <c r="G24" s="102" t="inlineStr">
        <is>
          <t>TOPS</t>
        </is>
      </c>
      <c r="H24" s="102" t="inlineStr">
        <is>
          <t>2 X RIB TANK TOP</t>
        </is>
      </c>
      <c r="I24" s="102" t="inlineStr">
        <is>
          <t>WHITE</t>
        </is>
      </c>
      <c r="J24" s="103" t="inlineStr">
        <is>
          <t>8.7</t>
        </is>
      </c>
      <c r="K24" s="103" t="n">
        <v>5</v>
      </c>
      <c r="L24" s="103" t="inlineStr">
        <is>
          <t>1.5%</t>
        </is>
      </c>
    </row>
    <row r="25">
      <c r="E25" s="96" t="inlineStr">
        <is>
          <t>20</t>
        </is>
      </c>
      <c r="F25" s="96" t="inlineStr">
        <is>
          <t>MEN</t>
        </is>
      </c>
      <c r="G25" s="96" t="inlineStr">
        <is>
          <t>TOPS</t>
        </is>
      </c>
      <c r="H25" s="96" t="inlineStr">
        <is>
          <t>MIDWEIGHT T-SHIRT</t>
        </is>
      </c>
      <c r="I25" s="96" t="inlineStr">
        <is>
          <t>STEEL BLUE</t>
        </is>
      </c>
      <c r="J25" s="99" t="inlineStr">
        <is>
          <t>8.3</t>
        </is>
      </c>
      <c r="K25" s="99" t="n">
        <v>12</v>
      </c>
      <c r="L25" s="99" t="inlineStr">
        <is>
          <t>1.4%</t>
        </is>
      </c>
    </row>
    <row r="26">
      <c r="E26" s="104" t="inlineStr">
        <is>
          <t>Top 20 Total</t>
        </is>
      </c>
      <c r="F26" s="104" t="n"/>
      <c r="G26" s="104" t="n"/>
      <c r="H26" s="104" t="n"/>
      <c r="I26" s="104" t="n"/>
      <c r="J26" s="105" t="inlineStr">
        <is>
          <t>283.0</t>
        </is>
      </c>
      <c r="K26" s="105" t="n">
        <v>266</v>
      </c>
      <c r="L26" s="105" t="inlineStr">
        <is>
          <t>49.5%</t>
        </is>
      </c>
    </row>
    <row r="27" ht="17" customHeight="1" s="116" thickBot="1">
      <c r="E27" s="106" t="inlineStr">
        <is>
          <t>Grand Total</t>
        </is>
      </c>
      <c r="F27" s="106" t="n"/>
      <c r="G27" s="106" t="n"/>
      <c r="H27" s="106" t="n"/>
      <c r="I27" s="106" t="n"/>
      <c r="J27" s="107" t="inlineStr">
        <is>
          <t>571.4</t>
        </is>
      </c>
      <c r="K27" s="107" t="n">
        <v>640</v>
      </c>
      <c r="L27" s="107" t="inlineStr">
        <is>
          <t>100.0%</t>
        </is>
      </c>
    </row>
    <row r="28" ht="17" customHeight="1" s="116" thickTop="1">
      <c r="J28" s="99" t="n"/>
    </row>
  </sheetData>
  <mergeCells count="2">
    <mergeCell ref="E2:L2"/>
    <mergeCell ref="E3:L3"/>
  </mergeCells>
  <pageMargins left="0.7" right="0.7" top="0.75" bottom="0.75" header="0.3" footer="0.3"/>
  <pageSetup orientation="portrait" paperSize="9" horizontalDpi="0" verticalDpi="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E2:L27"/>
  <sheetViews>
    <sheetView workbookViewId="0">
      <selection activeCell="E2" sqref="E2:L27"/>
    </sheetView>
  </sheetViews>
  <sheetFormatPr baseColWidth="10" defaultRowHeight="16"/>
  <cols>
    <col width="9" bestFit="1" customWidth="1" style="116" min="5" max="5"/>
    <col width="6" bestFit="1" customWidth="1" style="116" min="6" max="6"/>
    <col width="9.6640625" bestFit="1" customWidth="1" style="116" min="7" max="7"/>
    <col width="18.5" bestFit="1" customWidth="1" style="116" min="8" max="9"/>
    <col width="11" bestFit="1" customWidth="1" style="116" min="10" max="10"/>
    <col width="7.1640625" bestFit="1" customWidth="1" style="116" min="11" max="11"/>
    <col width="5.83203125" bestFit="1" customWidth="1" style="116" min="12" max="12"/>
  </cols>
  <sheetData>
    <row r="2" ht="30" customHeight="1" s="116">
      <c r="E2" s="118" t="inlineStr">
        <is>
          <t>Men</t>
        </is>
      </c>
    </row>
    <row r="3">
      <c r="E3" s="119" t="inlineStr">
        <is>
          <t>(SEK '000)</t>
        </is>
      </c>
    </row>
    <row r="5">
      <c r="E5" s="97" t="inlineStr">
        <is>
          <t>Rank</t>
        </is>
      </c>
      <c r="F5" s="97" t="inlineStr">
        <is>
          <t>Gender</t>
        </is>
      </c>
      <c r="G5" s="97" t="inlineStr">
        <is>
          <t>Category</t>
        </is>
      </c>
      <c r="H5" s="97" t="inlineStr">
        <is>
          <t>Product</t>
        </is>
      </c>
      <c r="I5" s="97" t="inlineStr">
        <is>
          <t>Color</t>
        </is>
      </c>
      <c r="J5" s="97" t="inlineStr">
        <is>
          <t>Gross Revenue</t>
        </is>
      </c>
      <c r="K5" s="97" t="inlineStr">
        <is>
          <t>Sales Qty</t>
        </is>
      </c>
      <c r="L5" s="97" t="inlineStr">
        <is>
          <t>SOB%</t>
        </is>
      </c>
    </row>
    <row r="6">
      <c r="E6" s="102" t="inlineStr">
        <is>
          <t>1</t>
        </is>
      </c>
      <c r="F6" s="102" t="inlineStr">
        <is>
          <t>MEN</t>
        </is>
      </c>
      <c r="G6" s="102" t="inlineStr">
        <is>
          <t>UNDERWEAR</t>
        </is>
      </c>
      <c r="H6" s="102" t="inlineStr">
        <is>
          <t>3 X BOXER BRIEFS</t>
        </is>
      </c>
      <c r="I6" s="102" t="inlineStr">
        <is>
          <t>BLACK</t>
        </is>
      </c>
      <c r="J6" s="103" t="inlineStr">
        <is>
          <t>38.3</t>
        </is>
      </c>
      <c r="K6" s="103" t="n">
        <v>46</v>
      </c>
      <c r="L6" s="103" t="inlineStr">
        <is>
          <t>4.8%</t>
        </is>
      </c>
    </row>
    <row r="7">
      <c r="E7" s="96" t="inlineStr">
        <is>
          <t>2</t>
        </is>
      </c>
      <c r="F7" s="96" t="inlineStr">
        <is>
          <t>MEN</t>
        </is>
      </c>
      <c r="G7" s="96" t="inlineStr">
        <is>
          <t>UNDERWEAR</t>
        </is>
      </c>
      <c r="H7" s="96" t="inlineStr">
        <is>
          <t>6 X BOXER BRIEFS</t>
        </is>
      </c>
      <c r="I7" s="96" t="inlineStr">
        <is>
          <t>BLACK</t>
        </is>
      </c>
      <c r="J7" s="99" t="inlineStr">
        <is>
          <t>34.1</t>
        </is>
      </c>
      <c r="K7" s="99" t="n">
        <v>22</v>
      </c>
      <c r="L7" s="99" t="inlineStr">
        <is>
          <t>4.2%</t>
        </is>
      </c>
    </row>
    <row r="8">
      <c r="E8" s="102" t="inlineStr">
        <is>
          <t>3</t>
        </is>
      </c>
      <c r="F8" s="102" t="inlineStr">
        <is>
          <t>MEN</t>
        </is>
      </c>
      <c r="G8" s="102" t="inlineStr">
        <is>
          <t>UNDERWEAR</t>
        </is>
      </c>
      <c r="H8" s="102" t="inlineStr">
        <is>
          <t>12 X BOXER BRIEFS</t>
        </is>
      </c>
      <c r="I8" s="102" t="inlineStr">
        <is>
          <t>BLACK</t>
        </is>
      </c>
      <c r="J8" s="103" t="inlineStr">
        <is>
          <t>33.9</t>
        </is>
      </c>
      <c r="K8" s="103" t="n">
        <v>11</v>
      </c>
      <c r="L8" s="103" t="inlineStr">
        <is>
          <t>4.2%</t>
        </is>
      </c>
    </row>
    <row r="9">
      <c r="E9" s="96" t="inlineStr">
        <is>
          <t>4</t>
        </is>
      </c>
      <c r="F9" s="96" t="inlineStr">
        <is>
          <t>MEN</t>
        </is>
      </c>
      <c r="G9" s="96" t="inlineStr">
        <is>
          <t>SWIMWEAR</t>
        </is>
      </c>
      <c r="H9" s="96" t="inlineStr">
        <is>
          <t>SWIM SHORTS SATIN TWILL</t>
        </is>
      </c>
      <c r="I9" s="96" t="inlineStr">
        <is>
          <t>JUNIPER</t>
        </is>
      </c>
      <c r="J9" s="99" t="inlineStr">
        <is>
          <t>25.7</t>
        </is>
      </c>
      <c r="K9" s="99" t="n">
        <v>15</v>
      </c>
      <c r="L9" s="99" t="inlineStr">
        <is>
          <t>3.2%</t>
        </is>
      </c>
    </row>
    <row r="10">
      <c r="E10" s="102" t="inlineStr">
        <is>
          <t>5</t>
        </is>
      </c>
      <c r="F10" s="102" t="inlineStr">
        <is>
          <t>MEN</t>
        </is>
      </c>
      <c r="G10" s="102" t="inlineStr">
        <is>
          <t>UNDERWEAR</t>
        </is>
      </c>
      <c r="H10" s="102" t="inlineStr">
        <is>
          <t>3 X BOXER BRIEFS</t>
        </is>
      </c>
      <c r="I10" s="102" t="inlineStr">
        <is>
          <t>STEEL BLUE</t>
        </is>
      </c>
      <c r="J10" s="103" t="inlineStr">
        <is>
          <t>25.1</t>
        </is>
      </c>
      <c r="K10" s="103" t="n">
        <v>39</v>
      </c>
      <c r="L10" s="103" t="inlineStr">
        <is>
          <t>3.1%</t>
        </is>
      </c>
    </row>
    <row r="11">
      <c r="E11" s="96" t="inlineStr">
        <is>
          <t>6</t>
        </is>
      </c>
      <c r="F11" s="96" t="inlineStr">
        <is>
          <t>MEN</t>
        </is>
      </c>
      <c r="G11" s="96" t="inlineStr">
        <is>
          <t>TOPS</t>
        </is>
      </c>
      <c r="H11" s="96" t="inlineStr">
        <is>
          <t>MIDWEIGHT T-SHIRT</t>
        </is>
      </c>
      <c r="I11" s="96" t="inlineStr">
        <is>
          <t>WHITE</t>
        </is>
      </c>
      <c r="J11" s="99" t="inlineStr">
        <is>
          <t>23.2</t>
        </is>
      </c>
      <c r="K11" s="99" t="n">
        <v>29</v>
      </c>
      <c r="L11" s="99" t="inlineStr">
        <is>
          <t>2.9%</t>
        </is>
      </c>
    </row>
    <row r="12">
      <c r="E12" s="102" t="inlineStr">
        <is>
          <t>7</t>
        </is>
      </c>
      <c r="F12" s="102" t="inlineStr">
        <is>
          <t>MEN</t>
        </is>
      </c>
      <c r="G12" s="102" t="inlineStr">
        <is>
          <t>TOPS</t>
        </is>
      </c>
      <c r="H12" s="102" t="inlineStr">
        <is>
          <t>MIDWEIGHT T-SHIRT</t>
        </is>
      </c>
      <c r="I12" s="102" t="inlineStr">
        <is>
          <t>NAVY</t>
        </is>
      </c>
      <c r="J12" s="103" t="inlineStr">
        <is>
          <t>22.9</t>
        </is>
      </c>
      <c r="K12" s="103" t="n">
        <v>32</v>
      </c>
      <c r="L12" s="103" t="inlineStr">
        <is>
          <t>2.9%</t>
        </is>
      </c>
    </row>
    <row r="13">
      <c r="E13" s="96" t="inlineStr">
        <is>
          <t>8</t>
        </is>
      </c>
      <c r="F13" s="96" t="inlineStr">
        <is>
          <t>MEN</t>
        </is>
      </c>
      <c r="G13" s="96" t="inlineStr">
        <is>
          <t>UNDERWEAR</t>
        </is>
      </c>
      <c r="H13" s="96" t="inlineStr">
        <is>
          <t>3 X BOXER BRIEFS</t>
        </is>
      </c>
      <c r="I13" s="96" t="inlineStr">
        <is>
          <t>WHITE</t>
        </is>
      </c>
      <c r="J13" s="99" t="inlineStr">
        <is>
          <t>22.3</t>
        </is>
      </c>
      <c r="K13" s="99" t="n">
        <v>26</v>
      </c>
      <c r="L13" s="99" t="inlineStr">
        <is>
          <t>2.8%</t>
        </is>
      </c>
    </row>
    <row r="14">
      <c r="E14" s="102" t="inlineStr">
        <is>
          <t>9</t>
        </is>
      </c>
      <c r="F14" s="102" t="inlineStr">
        <is>
          <t>MEN</t>
        </is>
      </c>
      <c r="G14" s="102" t="inlineStr">
        <is>
          <t>UNDERWEAR</t>
        </is>
      </c>
      <c r="H14" s="102" t="inlineStr">
        <is>
          <t>6 X BOXER SHORTS</t>
        </is>
      </c>
      <c r="I14" s="102" t="inlineStr">
        <is>
          <t>BLACK</t>
        </is>
      </c>
      <c r="J14" s="103" t="inlineStr">
        <is>
          <t>21.5</t>
        </is>
      </c>
      <c r="K14" s="103" t="n">
        <v>10</v>
      </c>
      <c r="L14" s="103" t="inlineStr">
        <is>
          <t>2.7%</t>
        </is>
      </c>
    </row>
    <row r="15">
      <c r="E15" s="96" t="inlineStr">
        <is>
          <t>10</t>
        </is>
      </c>
      <c r="F15" s="96" t="inlineStr">
        <is>
          <t>MEN</t>
        </is>
      </c>
      <c r="G15" s="96" t="inlineStr">
        <is>
          <t>TOPS</t>
        </is>
      </c>
      <c r="H15" s="96" t="inlineStr">
        <is>
          <t>MIDWEIGHT T-SHIRT</t>
        </is>
      </c>
      <c r="I15" s="96" t="inlineStr">
        <is>
          <t>BLACK</t>
        </is>
      </c>
      <c r="J15" s="99" t="inlineStr">
        <is>
          <t>21.1</t>
        </is>
      </c>
      <c r="K15" s="99" t="n">
        <v>27</v>
      </c>
      <c r="L15" s="99" t="inlineStr">
        <is>
          <t>2.6%</t>
        </is>
      </c>
    </row>
    <row r="16">
      <c r="E16" s="102" t="inlineStr">
        <is>
          <t>11</t>
        </is>
      </c>
      <c r="F16" s="102" t="inlineStr">
        <is>
          <t>MEN</t>
        </is>
      </c>
      <c r="G16" s="102" t="inlineStr">
        <is>
          <t>TOPS</t>
        </is>
      </c>
      <c r="H16" s="102" t="inlineStr">
        <is>
          <t>2 X HEAVY WEIGHT T-SHIRT</t>
        </is>
      </c>
      <c r="I16" s="102" t="inlineStr">
        <is>
          <t>BLACK/WHITE</t>
        </is>
      </c>
      <c r="J16" s="103" t="inlineStr">
        <is>
          <t>17.0</t>
        </is>
      </c>
      <c r="K16" s="103" t="n">
        <v>11</v>
      </c>
      <c r="L16" s="103" t="inlineStr">
        <is>
          <t>2.1%</t>
        </is>
      </c>
    </row>
    <row r="17">
      <c r="E17" s="96" t="inlineStr">
        <is>
          <t>12</t>
        </is>
      </c>
      <c r="F17" s="96" t="inlineStr">
        <is>
          <t>MEN</t>
        </is>
      </c>
      <c r="G17" s="96" t="inlineStr">
        <is>
          <t>TOPS</t>
        </is>
      </c>
      <c r="H17" s="96" t="inlineStr">
        <is>
          <t>3 X MIDWEIGHT T-SHIRT</t>
        </is>
      </c>
      <c r="I17" s="96" t="inlineStr">
        <is>
          <t>WHITE</t>
        </is>
      </c>
      <c r="J17" s="99" t="inlineStr">
        <is>
          <t>16.8</t>
        </is>
      </c>
      <c r="K17" s="99" t="n">
        <v>7</v>
      </c>
      <c r="L17" s="99" t="inlineStr">
        <is>
          <t>2.1%</t>
        </is>
      </c>
    </row>
    <row r="18">
      <c r="E18" s="102" t="inlineStr">
        <is>
          <t>13</t>
        </is>
      </c>
      <c r="F18" s="102" t="inlineStr">
        <is>
          <t>MEN</t>
        </is>
      </c>
      <c r="G18" s="102" t="inlineStr">
        <is>
          <t>UNDERWEAR</t>
        </is>
      </c>
      <c r="H18" s="102" t="inlineStr">
        <is>
          <t>3 X BOXER BRIEFS</t>
        </is>
      </c>
      <c r="I18" s="102" t="inlineStr">
        <is>
          <t>OLIVE GREEN</t>
        </is>
      </c>
      <c r="J18" s="103" t="inlineStr">
        <is>
          <t>14.9</t>
        </is>
      </c>
      <c r="K18" s="103" t="n">
        <v>17</v>
      </c>
      <c r="L18" s="103" t="inlineStr">
        <is>
          <t>1.9%</t>
        </is>
      </c>
    </row>
    <row r="19">
      <c r="E19" s="96" t="inlineStr">
        <is>
          <t>14</t>
        </is>
      </c>
      <c r="F19" s="96" t="inlineStr">
        <is>
          <t>MEN</t>
        </is>
      </c>
      <c r="G19" s="96" t="inlineStr">
        <is>
          <t>TOPS</t>
        </is>
      </c>
      <c r="H19" s="96" t="inlineStr">
        <is>
          <t>T-SHIRT HEAVYWEIGHT</t>
        </is>
      </c>
      <c r="I19" s="96" t="inlineStr">
        <is>
          <t>WHITE</t>
        </is>
      </c>
      <c r="J19" s="99" t="inlineStr">
        <is>
          <t>14.5</t>
        </is>
      </c>
      <c r="K19" s="99" t="n">
        <v>16</v>
      </c>
      <c r="L19" s="99" t="inlineStr">
        <is>
          <t>1.8%</t>
        </is>
      </c>
    </row>
    <row r="20">
      <c r="E20" s="102" t="inlineStr">
        <is>
          <t>15</t>
        </is>
      </c>
      <c r="F20" s="102" t="inlineStr">
        <is>
          <t>MEN</t>
        </is>
      </c>
      <c r="G20" s="102" t="inlineStr">
        <is>
          <t>TOPS</t>
        </is>
      </c>
      <c r="H20" s="102" t="inlineStr">
        <is>
          <t>2 X RIB TANK TOP</t>
        </is>
      </c>
      <c r="I20" s="102" t="inlineStr">
        <is>
          <t>WHITE</t>
        </is>
      </c>
      <c r="J20" s="103" t="inlineStr">
        <is>
          <t>13.7</t>
        </is>
      </c>
      <c r="K20" s="103" t="n">
        <v>8</v>
      </c>
      <c r="L20" s="103" t="inlineStr">
        <is>
          <t>1.7%</t>
        </is>
      </c>
    </row>
    <row r="21">
      <c r="E21" s="96" t="inlineStr">
        <is>
          <t>16</t>
        </is>
      </c>
      <c r="F21" s="96" t="inlineStr">
        <is>
          <t>MEN</t>
        </is>
      </c>
      <c r="G21" s="96" t="inlineStr">
        <is>
          <t>TOPS</t>
        </is>
      </c>
      <c r="H21" s="96" t="inlineStr">
        <is>
          <t>3 X MIDWEIGHT T-SHIRT</t>
        </is>
      </c>
      <c r="I21" s="96" t="inlineStr">
        <is>
          <t>BLACK</t>
        </is>
      </c>
      <c r="J21" s="99" t="inlineStr">
        <is>
          <t>13.4</t>
        </is>
      </c>
      <c r="K21" s="99" t="n">
        <v>6</v>
      </c>
      <c r="L21" s="99" t="inlineStr">
        <is>
          <t>1.7%</t>
        </is>
      </c>
    </row>
    <row r="22">
      <c r="E22" s="102" t="inlineStr">
        <is>
          <t>17</t>
        </is>
      </c>
      <c r="F22" s="102" t="inlineStr">
        <is>
          <t>MEN</t>
        </is>
      </c>
      <c r="G22" s="102" t="inlineStr">
        <is>
          <t>UNDERWEAR</t>
        </is>
      </c>
      <c r="H22" s="102" t="inlineStr">
        <is>
          <t>3 X BOXER BRIEFS</t>
        </is>
      </c>
      <c r="I22" s="102" t="inlineStr">
        <is>
          <t>BLACK+STEEL BLUE+WHITE</t>
        </is>
      </c>
      <c r="J22" s="103" t="inlineStr">
        <is>
          <t>12.8</t>
        </is>
      </c>
      <c r="K22" s="103" t="n">
        <v>15</v>
      </c>
      <c r="L22" s="103" t="inlineStr">
        <is>
          <t>1.6%</t>
        </is>
      </c>
    </row>
    <row r="23">
      <c r="E23" s="96" t="inlineStr">
        <is>
          <t>18</t>
        </is>
      </c>
      <c r="F23" s="96" t="inlineStr">
        <is>
          <t>MEN</t>
        </is>
      </c>
      <c r="G23" s="96" t="inlineStr">
        <is>
          <t>SWIMWEAR</t>
        </is>
      </c>
      <c r="H23" s="96" t="inlineStr">
        <is>
          <t>SWIM SHORTS DRY NYLON POPLIN</t>
        </is>
      </c>
      <c r="I23" s="96" t="inlineStr">
        <is>
          <t>WHITE</t>
        </is>
      </c>
      <c r="J23" s="99" t="inlineStr">
        <is>
          <t>12.8</t>
        </is>
      </c>
      <c r="K23" s="99" t="n">
        <v>7</v>
      </c>
      <c r="L23" s="99" t="inlineStr">
        <is>
          <t>1.6%</t>
        </is>
      </c>
    </row>
    <row r="24">
      <c r="E24" s="102" t="inlineStr">
        <is>
          <t>19</t>
        </is>
      </c>
      <c r="F24" s="102" t="inlineStr">
        <is>
          <t>MEN</t>
        </is>
      </c>
      <c r="G24" s="102" t="inlineStr">
        <is>
          <t>UNDERWEAR</t>
        </is>
      </c>
      <c r="H24" s="102" t="inlineStr">
        <is>
          <t>6 X BOXER TRUNKS</t>
        </is>
      </c>
      <c r="I24" s="102" t="inlineStr">
        <is>
          <t>BLACK</t>
        </is>
      </c>
      <c r="J24" s="103" t="inlineStr">
        <is>
          <t>12.3</t>
        </is>
      </c>
      <c r="K24" s="103" t="n">
        <v>7</v>
      </c>
      <c r="L24" s="103" t="inlineStr">
        <is>
          <t>1.5%</t>
        </is>
      </c>
    </row>
    <row r="25">
      <c r="E25" s="96" t="inlineStr">
        <is>
          <t>20</t>
        </is>
      </c>
      <c r="F25" s="96" t="inlineStr">
        <is>
          <t>MEN</t>
        </is>
      </c>
      <c r="G25" s="96" t="inlineStr">
        <is>
          <t>TOPS</t>
        </is>
      </c>
      <c r="H25" s="96" t="inlineStr">
        <is>
          <t>MIDWEIGHT T-SHIRT</t>
        </is>
      </c>
      <c r="I25" s="96" t="inlineStr">
        <is>
          <t>STEEL BLUE</t>
        </is>
      </c>
      <c r="J25" s="99" t="inlineStr">
        <is>
          <t>11.5</t>
        </is>
      </c>
      <c r="K25" s="99" t="n">
        <v>16</v>
      </c>
      <c r="L25" s="99" t="inlineStr">
        <is>
          <t>1.4%</t>
        </is>
      </c>
    </row>
    <row r="26">
      <c r="E26" s="104" t="inlineStr">
        <is>
          <t>Top 20 Total</t>
        </is>
      </c>
      <c r="F26" s="104" t="n"/>
      <c r="G26" s="104" t="n"/>
      <c r="H26" s="104" t="n"/>
      <c r="I26" s="104" t="n"/>
      <c r="J26" s="105" t="inlineStr">
        <is>
          <t>408.0</t>
        </is>
      </c>
      <c r="K26" s="105" t="n">
        <v>367</v>
      </c>
      <c r="L26" s="105" t="inlineStr">
        <is>
          <t>50.7%</t>
        </is>
      </c>
    </row>
    <row r="27" ht="17" customHeight="1" s="116" thickBot="1">
      <c r="E27" s="106" t="inlineStr">
        <is>
          <t>Grand Total</t>
        </is>
      </c>
      <c r="F27" s="106" t="n"/>
      <c r="G27" s="106" t="n"/>
      <c r="H27" s="106" t="n"/>
      <c r="I27" s="106" t="n"/>
      <c r="J27" s="107" t="inlineStr">
        <is>
          <t>804.7</t>
        </is>
      </c>
      <c r="K27" s="107" t="n">
        <v>879</v>
      </c>
      <c r="L27" s="107" t="inlineStr">
        <is>
          <t>100.0%</t>
        </is>
      </c>
    </row>
    <row r="28" ht="17" customHeight="1" s="116" thickTop="1"/>
  </sheetData>
  <mergeCells count="2">
    <mergeCell ref="E2:L2"/>
    <mergeCell ref="E3:L3"/>
  </mergeCells>
  <pageMargins left="0.7" right="0.7" top="0.75" bottom="0.75" header="0.3" footer="0.3"/>
  <pageSetup orientation="portrait" paperSize="9" horizontalDpi="0" verticalDpi="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E2:L27"/>
  <sheetViews>
    <sheetView topLeftCell="D1" workbookViewId="0">
      <selection activeCell="E2" sqref="E2:L27"/>
    </sheetView>
  </sheetViews>
  <sheetFormatPr baseColWidth="10" defaultRowHeight="16"/>
  <cols>
    <col width="9" bestFit="1" customWidth="1" style="116" min="5" max="5"/>
    <col width="6.33203125" bestFit="1" customWidth="1" style="116" min="6" max="6"/>
    <col width="9.6640625" bestFit="1" customWidth="1" style="116" min="7" max="7"/>
    <col width="22.6640625" bestFit="1" customWidth="1" style="116" min="8" max="8"/>
    <col width="13.1640625" bestFit="1" customWidth="1" style="116" min="9" max="9"/>
    <col width="11" bestFit="1" customWidth="1" style="116" min="10" max="10"/>
    <col width="7.1640625" bestFit="1" customWidth="1" style="116" min="11" max="11"/>
    <col width="5.83203125" bestFit="1" customWidth="1" style="116" min="12" max="12"/>
  </cols>
  <sheetData>
    <row r="2" ht="27" customHeight="1" s="116">
      <c r="E2" s="118" t="inlineStr">
        <is>
          <t>Women</t>
        </is>
      </c>
    </row>
    <row r="3">
      <c r="E3" s="119" t="inlineStr">
        <is>
          <t>(SEK '000)</t>
        </is>
      </c>
    </row>
    <row r="5">
      <c r="E5" s="97" t="inlineStr">
        <is>
          <t>Rank</t>
        </is>
      </c>
      <c r="F5" s="97" t="inlineStr">
        <is>
          <t>Gender</t>
        </is>
      </c>
      <c r="G5" s="97" t="inlineStr">
        <is>
          <t>Category</t>
        </is>
      </c>
      <c r="H5" s="97" t="inlineStr">
        <is>
          <t>Product</t>
        </is>
      </c>
      <c r="I5" s="97" t="inlineStr">
        <is>
          <t>Color</t>
        </is>
      </c>
      <c r="J5" s="98" t="inlineStr">
        <is>
          <t>Gross Revenue</t>
        </is>
      </c>
      <c r="K5" s="98" t="inlineStr">
        <is>
          <t>Sales Qty</t>
        </is>
      </c>
      <c r="L5" s="98" t="inlineStr">
        <is>
          <t>SOB%</t>
        </is>
      </c>
    </row>
    <row r="6">
      <c r="E6" s="102" t="inlineStr">
        <is>
          <t>1</t>
        </is>
      </c>
      <c r="F6" s="102" t="inlineStr">
        <is>
          <t>WOMEN</t>
        </is>
      </c>
      <c r="G6" s="102" t="inlineStr">
        <is>
          <t>TOPS</t>
        </is>
      </c>
      <c r="H6" s="102" t="inlineStr">
        <is>
          <t>2 X WOMEN'S T-SHIRT MIDWEIGHT</t>
        </is>
      </c>
      <c r="I6" s="102" t="inlineStr">
        <is>
          <t>WHITE+BLACK</t>
        </is>
      </c>
      <c r="J6" s="103" t="inlineStr">
        <is>
          <t>4.2</t>
        </is>
      </c>
      <c r="K6" s="103" t="n">
        <v>3</v>
      </c>
      <c r="L6" s="103" t="inlineStr">
        <is>
          <t>10.9%</t>
        </is>
      </c>
    </row>
    <row r="7">
      <c r="E7" s="96" t="inlineStr">
        <is>
          <t>2</t>
        </is>
      </c>
      <c r="F7" s="96" t="inlineStr">
        <is>
          <t>WOMEN</t>
        </is>
      </c>
      <c r="G7" s="96" t="inlineStr">
        <is>
          <t>UNDERWEAR</t>
        </is>
      </c>
      <c r="H7" s="96" t="inlineStr">
        <is>
          <t>3 X W-BOXER BRIEFS</t>
        </is>
      </c>
      <c r="I7" s="96" t="inlineStr">
        <is>
          <t>BLACK</t>
        </is>
      </c>
      <c r="J7" s="99" t="inlineStr">
        <is>
          <t>4.0</t>
        </is>
      </c>
      <c r="K7" s="99" t="n">
        <v>5</v>
      </c>
      <c r="L7" s="99" t="inlineStr">
        <is>
          <t>10.4%</t>
        </is>
      </c>
    </row>
    <row r="8">
      <c r="E8" s="102" t="inlineStr">
        <is>
          <t>3</t>
        </is>
      </c>
      <c r="F8" s="102" t="inlineStr">
        <is>
          <t>WOMEN</t>
        </is>
      </c>
      <c r="G8" s="102" t="inlineStr">
        <is>
          <t>TOPS</t>
        </is>
      </c>
      <c r="H8" s="102" t="inlineStr">
        <is>
          <t>2 X WOMEN'S RIB TANK TOP</t>
        </is>
      </c>
      <c r="I8" s="102" t="inlineStr">
        <is>
          <t>WHITE</t>
        </is>
      </c>
      <c r="J8" s="103" t="inlineStr">
        <is>
          <t>3.2</t>
        </is>
      </c>
      <c r="K8" s="103" t="n">
        <v>2</v>
      </c>
      <c r="L8" s="103" t="inlineStr">
        <is>
          <t>8.2%</t>
        </is>
      </c>
    </row>
    <row r="9">
      <c r="E9" s="96" t="inlineStr">
        <is>
          <t>4</t>
        </is>
      </c>
      <c r="F9" s="96" t="inlineStr">
        <is>
          <t>WOMEN</t>
        </is>
      </c>
      <c r="G9" s="96" t="inlineStr">
        <is>
          <t>TOPS</t>
        </is>
      </c>
      <c r="H9" s="96" t="inlineStr">
        <is>
          <t>WOMEN'S T-SHIRT HEAVYWEIGHT</t>
        </is>
      </c>
      <c r="I9" s="96" t="inlineStr">
        <is>
          <t>WHITE</t>
        </is>
      </c>
      <c r="J9" s="99" t="inlineStr">
        <is>
          <t>3.0</t>
        </is>
      </c>
      <c r="K9" s="99" t="n">
        <v>3</v>
      </c>
      <c r="L9" s="99" t="inlineStr">
        <is>
          <t>7.7%</t>
        </is>
      </c>
    </row>
    <row r="10">
      <c r="E10" s="102" t="inlineStr">
        <is>
          <t>5</t>
        </is>
      </c>
      <c r="F10" s="102" t="inlineStr">
        <is>
          <t>WOMEN</t>
        </is>
      </c>
      <c r="G10" s="102" t="inlineStr">
        <is>
          <t>UNDERWEAR</t>
        </is>
      </c>
      <c r="H10" s="102" t="inlineStr">
        <is>
          <t>3 X W-BOXER BRIEFS</t>
        </is>
      </c>
      <c r="I10" s="102" t="inlineStr">
        <is>
          <t>WHITE</t>
        </is>
      </c>
      <c r="J10" s="103" t="inlineStr">
        <is>
          <t>2.1</t>
        </is>
      </c>
      <c r="K10" s="103" t="n">
        <v>2</v>
      </c>
      <c r="L10" s="103" t="inlineStr">
        <is>
          <t>5.4%</t>
        </is>
      </c>
    </row>
    <row r="11">
      <c r="E11" s="96" t="inlineStr">
        <is>
          <t>6</t>
        </is>
      </c>
      <c r="F11" s="96" t="inlineStr">
        <is>
          <t>WOMEN</t>
        </is>
      </c>
      <c r="G11" s="96" t="inlineStr">
        <is>
          <t>UNDERWEAR</t>
        </is>
      </c>
      <c r="H11" s="96" t="inlineStr">
        <is>
          <t>TRIANGLE BRALETTE</t>
        </is>
      </c>
      <c r="I11" s="96" t="inlineStr">
        <is>
          <t>BLACK</t>
        </is>
      </c>
      <c r="J11" s="99" t="inlineStr">
        <is>
          <t>2.0</t>
        </is>
      </c>
      <c r="K11" s="99" t="n">
        <v>2</v>
      </c>
      <c r="L11" s="99" t="inlineStr">
        <is>
          <t>5.2%</t>
        </is>
      </c>
    </row>
    <row r="12">
      <c r="E12" s="102" t="inlineStr">
        <is>
          <t>7</t>
        </is>
      </c>
      <c r="F12" s="102" t="inlineStr">
        <is>
          <t>WOMEN</t>
        </is>
      </c>
      <c r="G12" s="102" t="inlineStr">
        <is>
          <t>UNDERWEAR</t>
        </is>
      </c>
      <c r="H12" s="102" t="inlineStr">
        <is>
          <t>TRIANGLE BRALETTE</t>
        </is>
      </c>
      <c r="I12" s="102" t="inlineStr">
        <is>
          <t>WHITE</t>
        </is>
      </c>
      <c r="J12" s="103" t="inlineStr">
        <is>
          <t>2.0</t>
        </is>
      </c>
      <c r="K12" s="103" t="n">
        <v>2</v>
      </c>
      <c r="L12" s="103" t="inlineStr">
        <is>
          <t>5.1%</t>
        </is>
      </c>
    </row>
    <row r="13">
      <c r="E13" s="96" t="inlineStr">
        <is>
          <t>8</t>
        </is>
      </c>
      <c r="F13" s="96" t="inlineStr">
        <is>
          <t>WOMEN</t>
        </is>
      </c>
      <c r="G13" s="96" t="inlineStr">
        <is>
          <t>TOPS</t>
        </is>
      </c>
      <c r="H13" s="96" t="inlineStr">
        <is>
          <t>WOMEN'S RIB TANK TOP</t>
        </is>
      </c>
      <c r="I13" s="96" t="inlineStr">
        <is>
          <t>WHITE</t>
        </is>
      </c>
      <c r="J13" s="99" t="inlineStr">
        <is>
          <t>1.8</t>
        </is>
      </c>
      <c r="K13" s="99" t="n">
        <v>2</v>
      </c>
      <c r="L13" s="99" t="inlineStr">
        <is>
          <t>4.6%</t>
        </is>
      </c>
    </row>
    <row r="14">
      <c r="E14" s="102" t="inlineStr">
        <is>
          <t>9</t>
        </is>
      </c>
      <c r="F14" s="102" t="inlineStr">
        <is>
          <t>WOMEN</t>
        </is>
      </c>
      <c r="G14" s="102" t="inlineStr">
        <is>
          <t>UNDERWEAR</t>
        </is>
      </c>
      <c r="H14" s="102" t="inlineStr">
        <is>
          <t>3 X THONG</t>
        </is>
      </c>
      <c r="I14" s="102" t="inlineStr">
        <is>
          <t>BLACK</t>
        </is>
      </c>
      <c r="J14" s="103" t="inlineStr">
        <is>
          <t>1.8</t>
        </is>
      </c>
      <c r="K14" s="103" t="n">
        <v>2</v>
      </c>
      <c r="L14" s="103" t="inlineStr">
        <is>
          <t>4.5%</t>
        </is>
      </c>
    </row>
    <row r="15">
      <c r="E15" s="96" t="inlineStr">
        <is>
          <t>10</t>
        </is>
      </c>
      <c r="F15" s="96" t="inlineStr">
        <is>
          <t>WOMEN</t>
        </is>
      </c>
      <c r="G15" s="96" t="inlineStr">
        <is>
          <t>SWIMWEAR</t>
        </is>
      </c>
      <c r="H15" s="96" t="inlineStr">
        <is>
          <t>BIKINI BRIEFS</t>
        </is>
      </c>
      <c r="I15" s="96" t="inlineStr">
        <is>
          <t>BLACK</t>
        </is>
      </c>
      <c r="J15" s="99" t="inlineStr">
        <is>
          <t>1.6</t>
        </is>
      </c>
      <c r="K15" s="99" t="n">
        <v>2</v>
      </c>
      <c r="L15" s="99" t="inlineStr">
        <is>
          <t>4.2%</t>
        </is>
      </c>
    </row>
    <row r="16">
      <c r="E16" s="102" t="inlineStr">
        <is>
          <t>11</t>
        </is>
      </c>
      <c r="F16" s="102" t="inlineStr">
        <is>
          <t>WOMEN</t>
        </is>
      </c>
      <c r="G16" s="102" t="inlineStr">
        <is>
          <t>UNDERWEAR</t>
        </is>
      </c>
      <c r="H16" s="102" t="inlineStr">
        <is>
          <t>3 X STRING THONG</t>
        </is>
      </c>
      <c r="I16" s="102" t="inlineStr">
        <is>
          <t>BLACK</t>
        </is>
      </c>
      <c r="J16" s="103" t="inlineStr">
        <is>
          <t>1.5</t>
        </is>
      </c>
      <c r="K16" s="103" t="n">
        <v>2</v>
      </c>
      <c r="L16" s="103" t="inlineStr">
        <is>
          <t>3.8%</t>
        </is>
      </c>
    </row>
    <row r="17">
      <c r="E17" s="96" t="inlineStr">
        <is>
          <t>12</t>
        </is>
      </c>
      <c r="F17" s="96" t="inlineStr">
        <is>
          <t>WOMEN</t>
        </is>
      </c>
      <c r="G17" s="96" t="inlineStr">
        <is>
          <t>TOPS</t>
        </is>
      </c>
      <c r="H17" s="96" t="inlineStr">
        <is>
          <t>LIGHTWEIGHT SHORT SLEEVE DRESS</t>
        </is>
      </c>
      <c r="I17" s="96" t="inlineStr">
        <is>
          <t>BLACK</t>
        </is>
      </c>
      <c r="J17" s="99" t="inlineStr">
        <is>
          <t>1.5</t>
        </is>
      </c>
      <c r="K17" s="99" t="n">
        <v>2</v>
      </c>
      <c r="L17" s="99" t="inlineStr">
        <is>
          <t>3.7%</t>
        </is>
      </c>
    </row>
    <row r="18">
      <c r="E18" s="102" t="inlineStr">
        <is>
          <t>13</t>
        </is>
      </c>
      <c r="F18" s="102" t="inlineStr">
        <is>
          <t>WOMEN</t>
        </is>
      </c>
      <c r="G18" s="102" t="inlineStr">
        <is>
          <t>TOPS</t>
        </is>
      </c>
      <c r="H18" s="102" t="inlineStr">
        <is>
          <t>W-LW T-SHIRT</t>
        </is>
      </c>
      <c r="I18" s="102" t="inlineStr">
        <is>
          <t>BLACK</t>
        </is>
      </c>
      <c r="J18" s="103" t="inlineStr">
        <is>
          <t>1.4</t>
        </is>
      </c>
      <c r="K18" s="103" t="n">
        <v>2</v>
      </c>
      <c r="L18" s="103" t="inlineStr">
        <is>
          <t>3.7%</t>
        </is>
      </c>
    </row>
    <row r="19">
      <c r="E19" s="96" t="inlineStr">
        <is>
          <t>14</t>
        </is>
      </c>
      <c r="F19" s="96" t="inlineStr">
        <is>
          <t>WOMEN</t>
        </is>
      </c>
      <c r="G19" s="96" t="inlineStr">
        <is>
          <t>TOPS</t>
        </is>
      </c>
      <c r="H19" s="96" t="inlineStr">
        <is>
          <t>2 X WOMEN'S RIB TANK TOP</t>
        </is>
      </c>
      <c r="I19" s="96" t="inlineStr">
        <is>
          <t>OFF BLACK</t>
        </is>
      </c>
      <c r="J19" s="99" t="inlineStr">
        <is>
          <t>1.2</t>
        </is>
      </c>
      <c r="K19" s="99" t="n">
        <v>1</v>
      </c>
      <c r="L19" s="99" t="inlineStr">
        <is>
          <t>3.1%</t>
        </is>
      </c>
    </row>
    <row r="20">
      <c r="E20" s="102" t="inlineStr">
        <is>
          <t>15</t>
        </is>
      </c>
      <c r="F20" s="102" t="inlineStr">
        <is>
          <t>WOMEN</t>
        </is>
      </c>
      <c r="G20" s="102" t="inlineStr">
        <is>
          <t>SWIMWEAR</t>
        </is>
      </c>
      <c r="H20" s="102" t="inlineStr">
        <is>
          <t>TRIANGLE BIKINI BRALETTE</t>
        </is>
      </c>
      <c r="I20" s="102" t="inlineStr">
        <is>
          <t>BLACK</t>
        </is>
      </c>
      <c r="J20" s="103" t="inlineStr">
        <is>
          <t>1.0</t>
        </is>
      </c>
      <c r="K20" s="103" t="n">
        <v>1</v>
      </c>
      <c r="L20" s="103" t="inlineStr">
        <is>
          <t>2.7%</t>
        </is>
      </c>
    </row>
    <row r="21">
      <c r="E21" s="96" t="inlineStr">
        <is>
          <t>16</t>
        </is>
      </c>
      <c r="F21" s="96" t="inlineStr">
        <is>
          <t>WOMEN</t>
        </is>
      </c>
      <c r="G21" s="96" t="inlineStr">
        <is>
          <t>UNDERWEAR</t>
        </is>
      </c>
      <c r="H21" s="96" t="inlineStr">
        <is>
          <t>SCOOP BRALETTE</t>
        </is>
      </c>
      <c r="I21" s="96" t="inlineStr">
        <is>
          <t>BLACK</t>
        </is>
      </c>
      <c r="J21" s="99" t="inlineStr">
        <is>
          <t>1.0</t>
        </is>
      </c>
      <c r="K21" s="99" t="n">
        <v>1</v>
      </c>
      <c r="L21" s="99" t="inlineStr">
        <is>
          <t>2.6%</t>
        </is>
      </c>
    </row>
    <row r="22">
      <c r="E22" s="102" t="inlineStr">
        <is>
          <t>17</t>
        </is>
      </c>
      <c r="F22" s="102" t="inlineStr">
        <is>
          <t>WOMEN</t>
        </is>
      </c>
      <c r="G22" s="102" t="inlineStr">
        <is>
          <t>UNDERWEAR</t>
        </is>
      </c>
      <c r="H22" s="102" t="inlineStr">
        <is>
          <t>3 X STRING THONG</t>
        </is>
      </c>
      <c r="I22" s="102" t="inlineStr">
        <is>
          <t>WHITE</t>
        </is>
      </c>
      <c r="J22" s="103" t="inlineStr">
        <is>
          <t>1.0</t>
        </is>
      </c>
      <c r="K22" s="103" t="n">
        <v>1</v>
      </c>
      <c r="L22" s="103" t="inlineStr">
        <is>
          <t>2.5%</t>
        </is>
      </c>
    </row>
    <row r="23">
      <c r="E23" s="96" t="inlineStr">
        <is>
          <t>18</t>
        </is>
      </c>
      <c r="F23" s="96" t="inlineStr">
        <is>
          <t>WOMEN</t>
        </is>
      </c>
      <c r="G23" s="96" t="inlineStr">
        <is>
          <t>UNDERWEAR</t>
        </is>
      </c>
      <c r="H23" s="96" t="inlineStr">
        <is>
          <t>Y-BRIEFS</t>
        </is>
      </c>
      <c r="I23" s="96" t="inlineStr">
        <is>
          <t>BLACK</t>
        </is>
      </c>
      <c r="J23" s="99" t="inlineStr">
        <is>
          <t>0.9</t>
        </is>
      </c>
      <c r="K23" s="99" t="n">
        <v>2</v>
      </c>
      <c r="L23" s="99" t="inlineStr">
        <is>
          <t>2.4%</t>
        </is>
      </c>
    </row>
    <row r="24">
      <c r="E24" s="102" t="inlineStr">
        <is>
          <t>19</t>
        </is>
      </c>
      <c r="F24" s="102" t="inlineStr">
        <is>
          <t>WOMEN</t>
        </is>
      </c>
      <c r="G24" s="102" t="inlineStr">
        <is>
          <t>TOPS</t>
        </is>
      </c>
      <c r="H24" s="102" t="inlineStr">
        <is>
          <t>W-RIB T-SHIRT</t>
        </is>
      </c>
      <c r="I24" s="102" t="inlineStr">
        <is>
          <t>WHITE</t>
        </is>
      </c>
      <c r="J24" s="103" t="inlineStr">
        <is>
          <t>0.8</t>
        </is>
      </c>
      <c r="K24" s="103" t="n">
        <v>1</v>
      </c>
      <c r="L24" s="103" t="inlineStr">
        <is>
          <t>2.1%</t>
        </is>
      </c>
    </row>
    <row r="25">
      <c r="E25" s="96" t="inlineStr">
        <is>
          <t>20</t>
        </is>
      </c>
      <c r="F25" s="96" t="inlineStr">
        <is>
          <t>WOMEN</t>
        </is>
      </c>
      <c r="G25" s="96" t="inlineStr">
        <is>
          <t>TOPS</t>
        </is>
      </c>
      <c r="H25" s="96" t="inlineStr">
        <is>
          <t>W-RIB T-SHIRT</t>
        </is>
      </c>
      <c r="I25" s="96" t="inlineStr">
        <is>
          <t>OFF BLACK</t>
        </is>
      </c>
      <c r="J25" s="99" t="inlineStr">
        <is>
          <t>0.8</t>
        </is>
      </c>
      <c r="K25" s="99" t="n">
        <v>1</v>
      </c>
      <c r="L25" s="99" t="inlineStr">
        <is>
          <t>2.1%</t>
        </is>
      </c>
    </row>
    <row r="26">
      <c r="E26" s="104" t="inlineStr">
        <is>
          <t>Top 20 Total</t>
        </is>
      </c>
      <c r="F26" s="104" t="n">
        <v/>
      </c>
      <c r="G26" s="104" t="n">
        <v/>
      </c>
      <c r="H26" s="104" t="n">
        <v/>
      </c>
      <c r="I26" s="104" t="n">
        <v/>
      </c>
      <c r="J26" s="105" t="inlineStr">
        <is>
          <t>36.8</t>
        </is>
      </c>
      <c r="K26" s="105" t="n">
        <v>39</v>
      </c>
      <c r="L26" s="105" t="inlineStr">
        <is>
          <t>94.9%</t>
        </is>
      </c>
    </row>
    <row r="27" ht="17" customHeight="1" s="116" thickBot="1">
      <c r="E27" s="106" t="inlineStr">
        <is>
          <t>Grand Total</t>
        </is>
      </c>
      <c r="F27" s="106" t="n">
        <v/>
      </c>
      <c r="G27" s="106" t="n">
        <v/>
      </c>
      <c r="H27" s="106" t="n">
        <v/>
      </c>
      <c r="I27" s="106" t="n">
        <v/>
      </c>
      <c r="J27" s="107" t="inlineStr">
        <is>
          <t>38.8</t>
        </is>
      </c>
      <c r="K27" s="107" t="n">
        <v>45</v>
      </c>
      <c r="L27" s="107" t="inlineStr">
        <is>
          <t>100.0%</t>
        </is>
      </c>
    </row>
    <row r="28" ht="17" customHeight="1" s="116" thickTop="1"/>
  </sheetData>
  <mergeCells count="2">
    <mergeCell ref="E2:L2"/>
    <mergeCell ref="E3:L3"/>
  </mergeCells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Axel Samuelsson</dc:creator>
  <dcterms:created xmlns:dcterms="http://purl.org/dc/terms/" xmlns:xsi="http://www.w3.org/2001/XMLSchema-instance" xsi:type="dcterms:W3CDTF">2025-02-06T20:20:37Z</dcterms:created>
  <dcterms:modified xmlns:dcterms="http://purl.org/dc/terms/" xmlns:xsi="http://www.w3.org/2001/XMLSchema-instance" xsi:type="dcterms:W3CDTF">2025-10-01T13:37:08Z</dcterms:modified>
  <cp:lastModifiedBy>Axel Samuelsson</cp:lastModifiedBy>
</cp:coreProperties>
</file>